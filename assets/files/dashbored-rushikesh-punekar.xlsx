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eb170cdf666bc54f/Documents/"/>
    </mc:Choice>
  </mc:AlternateContent>
  <xr:revisionPtr revIDLastSave="4" documentId="8_{7C63BB75-AEDC-4944-874F-F8288863D9BF}" xr6:coauthVersionLast="47" xr6:coauthVersionMax="47" xr10:uidLastSave="{21CB7D90-6CC3-402B-9478-5E3D3016BB73}"/>
  <bookViews>
    <workbookView xWindow="-120" yWindow="-120" windowWidth="25840" windowHeight="14640" activeTab="2" xr2:uid="{7F181920-6E2A-4663-8D77-413177D12B08}"/>
  </bookViews>
  <sheets>
    <sheet name="Sheet2" sheetId="2" r:id="rId1"/>
    <sheet name="Sheet4" sheetId="4" r:id="rId2"/>
    <sheet name="Sheet3" sheetId="3" r:id="rId3"/>
    <sheet name="g1" sheetId="5" r:id="rId4"/>
    <sheet name="Sheet1" sheetId="1" r:id="rId5"/>
  </sheets>
  <definedNames>
    <definedName name="Slicer_Gross_Revenue">#N/A</definedName>
    <definedName name="Slicer_Monthly_Target">#N/A</definedName>
    <definedName name="Slicer_Profit_Margin">#N/A</definedName>
    <definedName name="Slicer_Total_Net_Profi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<sst xmlns="http://schemas.openxmlformats.org/spreadsheetml/2006/main" count="1603" uniqueCount="308">
  <si>
    <t>Order ID</t>
  </si>
  <si>
    <t>Date</t>
  </si>
  <si>
    <t>Region</t>
  </si>
  <si>
    <t>Product</t>
  </si>
  <si>
    <t>Sales Rep</t>
  </si>
  <si>
    <t>Units Sold</t>
  </si>
  <si>
    <t>Unit Price</t>
  </si>
  <si>
    <t>Gross Revenue</t>
  </si>
  <si>
    <t>Tax (18%)</t>
  </si>
  <si>
    <t>Shipping Fee</t>
  </si>
  <si>
    <t>Discount %</t>
  </si>
  <si>
    <t>Total Net Profit</t>
  </si>
  <si>
    <t>Status</t>
  </si>
  <si>
    <t>Customer Rating</t>
  </si>
  <si>
    <t>Month</t>
  </si>
  <si>
    <t>Monthly Target</t>
  </si>
  <si>
    <t>Profit Margin %</t>
  </si>
  <si>
    <t>ORD-1001</t>
  </si>
  <si>
    <t>North</t>
  </si>
  <si>
    <t>AI Suite</t>
  </si>
  <si>
    <t>Emma Brown</t>
  </si>
  <si>
    <t>Cancelled</t>
  </si>
  <si>
    <t>November</t>
  </si>
  <si>
    <t>ORD-1002</t>
  </si>
  <si>
    <t>Security Hardware</t>
  </si>
  <si>
    <t>Alice Johnson</t>
  </si>
  <si>
    <t>Shipped</t>
  </si>
  <si>
    <t>October</t>
  </si>
  <si>
    <t>ORD-1003</t>
  </si>
  <si>
    <t>South</t>
  </si>
  <si>
    <t>David Lee</t>
  </si>
  <si>
    <t>ORD-1004</t>
  </si>
  <si>
    <t>Blockchain Ledger</t>
  </si>
  <si>
    <t>Frank Davis</t>
  </si>
  <si>
    <t>May</t>
  </si>
  <si>
    <t>ORD-1005</t>
  </si>
  <si>
    <t>East</t>
  </si>
  <si>
    <t>Henry Moore</t>
  </si>
  <si>
    <t>ORD-1006</t>
  </si>
  <si>
    <t>International</t>
  </si>
  <si>
    <t>Cloud Storage</t>
  </si>
  <si>
    <t>Jack Anderson</t>
  </si>
  <si>
    <t>ORD-1007</t>
  </si>
  <si>
    <t>Grace Wilson</t>
  </si>
  <si>
    <t>February</t>
  </si>
  <si>
    <t>ORD-1008</t>
  </si>
  <si>
    <t>December</t>
  </si>
  <si>
    <t>ORD-1009</t>
  </si>
  <si>
    <t>July</t>
  </si>
  <si>
    <t>ORD-1010</t>
  </si>
  <si>
    <t>ORD-1011</t>
  </si>
  <si>
    <t>Carol White</t>
  </si>
  <si>
    <t>In-Progress</t>
  </si>
  <si>
    <t>August</t>
  </si>
  <si>
    <t>ORD-1012</t>
  </si>
  <si>
    <t>West</t>
  </si>
  <si>
    <t>ORD-1013</t>
  </si>
  <si>
    <t>ORD-1014</t>
  </si>
  <si>
    <t>Bob Smith</t>
  </si>
  <si>
    <t>September</t>
  </si>
  <si>
    <t>ORD-1015</t>
  </si>
  <si>
    <t>ORD-1016</t>
  </si>
  <si>
    <t>ORD-1017</t>
  </si>
  <si>
    <t>June</t>
  </si>
  <si>
    <t>ORD-1018</t>
  </si>
  <si>
    <t>ORD-1019</t>
  </si>
  <si>
    <t>March</t>
  </si>
  <si>
    <t>ORD-1020</t>
  </si>
  <si>
    <t>ORD-1021</t>
  </si>
  <si>
    <t>April</t>
  </si>
  <si>
    <t>ORD-1022</t>
  </si>
  <si>
    <t>ORD-1023</t>
  </si>
  <si>
    <t>ORD-1024</t>
  </si>
  <si>
    <t>ORD-1025</t>
  </si>
  <si>
    <t>ORD-1026</t>
  </si>
  <si>
    <t>Iris Taylor</t>
  </si>
  <si>
    <t>ORD-1027</t>
  </si>
  <si>
    <t>ORD-1028</t>
  </si>
  <si>
    <t>ORD-1029</t>
  </si>
  <si>
    <t>January</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</si>
  <si>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</si>
  <si>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</si>
  <si>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</si>
  <si>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</si>
  <si>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</si>
  <si>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</si>
  <si>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</si>
  <si>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</si>
  <si>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</si>
  <si>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</si>
  <si>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</si>
  <si>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</si>
  <si>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</si>
  <si>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</si>
  <si>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</si>
  <si>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</si>
  <si>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</si>
  <si>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</si>
  <si>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</si>
  <si>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</si>
  <si>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</si>
  <si>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</si>
  <si>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</si>
  <si>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</si>
  <si>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</si>
  <si>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</si>
  <si>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</si>
  <si>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</si>
  <si>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</si>
  <si>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</si>
  <si>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</si>
  <si>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</si>
  <si>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</si>
  <si>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</si>
  <si>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</si>
  <si>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</si>
  <si>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</si>
  <si>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</si>
  <si>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</si>
  <si>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</si>
  <si>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</si>
  <si>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</si>
  <si>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</si>
  <si>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</si>
  <si>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</si>
  <si>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</si>
  <si>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</si>
  <si>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</si>
  <si>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</si>
  <si>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</si>
  <si>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</si>
  <si>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</si>
  <si>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</si>
  <si>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</si>
  <si>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</si>
  <si>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</si>
  <si>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</si>
  <si>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</si>
  <si>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</si>
  <si>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</si>
  <si>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</si>
  <si>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</si>
  <si>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</si>
  <si>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</si>
  <si>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</si>
  <si>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</si>
  <si>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</si>
  <si>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</si>
  <si>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</si>
  <si>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</si>
  <si>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</si>
  <si>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</si>
  <si>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</si>
  <si>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</si>
  <si>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</si>
  <si>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</si>
  <si>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</si>
  <si>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</si>
  <si>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</si>
  <si>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</si>
  <si>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</si>
  <si>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</si>
  <si>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</si>
  <si>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</si>
  <si>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</si>
  <si>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</si>
  <si>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</si>
  <si>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</si>
  <si>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</si>
  <si>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</si>
  <si>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</si>
  <si>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</si>
  <si>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</si>
  <si>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</si>
  <si>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</si>
  <si>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</si>
  <si>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</si>
  <si>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</si>
  <si>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</si>
  <si>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</si>
  <si>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</si>
  <si>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</si>
  <si>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</si>
  <si>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</si>
  <si>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</si>
  <si>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</si>
  <si>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</si>
  <si>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</si>
  <si>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</si>
  <si>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</si>
  <si>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</si>
  <si>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</si>
  <si>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</si>
  <si>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</si>
  <si>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</si>
  <si>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</si>
  <si>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</si>
  <si>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</si>
  <si>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</si>
  <si>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</si>
  <si>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</si>
  <si>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</si>
  <si>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</si>
  <si>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</si>
  <si>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</si>
  <si>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</si>
  <si>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</si>
  <si>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</si>
  <si>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</si>
  <si>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</si>
  <si>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</si>
  <si>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</si>
  <si>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</si>
  <si>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</si>
  <si>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</si>
  <si>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</si>
  <si>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</si>
  <si>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</si>
  <si>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</si>
  <si>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</si>
  <si>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</si>
  <si>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</si>
  <si>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</si>
  <si>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</si>
  <si>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</si>
  <si>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</si>
  <si>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</si>
  <si>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</si>
  <si>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</si>
  <si>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</si>
  <si>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</si>
  <si>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</si>
  <si>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</si>
  <si>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</si>
  <si>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</si>
  <si>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</si>
  <si>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</si>
  <si>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</si>
  <si>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</si>
  <si>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</si>
  <si>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</si>
  <si>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</si>
  <si>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</si>
  <si>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</si>
  <si>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</si>
  <si>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</si>
  <si>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</si>
  <si>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</si>
  <si>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</si>
  <si>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</si>
  <si>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</si>
  <si>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</si>
  <si>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</si>
  <si>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</si>
  <si>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</si>
  <si>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</si>
  <si>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</si>
  <si>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</si>
  <si>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</si>
  <si>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</si>
  <si>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</si>
  <si>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</si>
  <si>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</si>
  <si>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</si>
  <si>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</si>
  <si>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</si>
  <si>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</si>
  <si>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</si>
  <si>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</si>
  <si>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</si>
  <si>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</si>
  <si>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</si>
  <si>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</si>
  <si>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</si>
  <si>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</si>
  <si>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</si>
  <si>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</si>
  <si>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</si>
  <si>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</si>
  <si>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</si>
  <si>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</si>
  <si>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</si>
  <si>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</si>
  <si>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</si>
  <si>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</si>
  <si>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</si>
  <si>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</si>
  <si>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</si>
  <si>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</si>
  <si>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</si>
  <si>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</si>
  <si>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</si>
  <si>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</si>
  <si>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</si>
  <si>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</si>
  <si>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</si>
  <si>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</si>
  <si>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</si>
  <si>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</si>
  <si>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</si>
  <si>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</si>
  <si>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Row Labels</t>
  </si>
  <si>
    <t>Grand Total</t>
  </si>
  <si>
    <t>Sum of Gross Revenue</t>
  </si>
  <si>
    <t>Sum of Monthly Target</t>
  </si>
  <si>
    <t>Sum of Total Net Profit</t>
  </si>
  <si>
    <t>Sum of Units Sold</t>
  </si>
  <si>
    <t>Sum of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</si>
</sst>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quot;%&quot;"/>
    <numFmt numFmtId="166" formatCode="0.00&quot;%&quot;"/>
  </numFmts>
  <fonts count="3" x14ac:knownFonts="1">
    <font>
      <sz val="11"/>
      <color theme="1"/>
      <name val="Aptos Narrow"/>
      <family val="2"/>
      <scheme val="minor"/>
    </font>
    <font>
      <b/>
      <sz val="11"/>
      <color rgb="FFFFFFFF"/>
      <name val="Arial"/>
    </font>
    <font>
      <sz val="10"/>
      <name val="Arial"/>
    </font>
  </fonts>
  <fills count="4">
    <fill>
      <patternFill patternType="none"/>
    </fill>
    <fill>
      <patternFill patternType="gray125"/>
    </fill>
    <fill>
      <patternFill patternType="solid">
        <fgColor rgb="FF1F3864"/>
      </patternFill>
    </fill>
    <fill>
      <patternFill patternType="solid">
        <fgColor rgb="FFEBF0F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left" vertical="center"/>
    </xf>
    <xf numFmtId="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4" fontId="2" fillId="3" borderId="1" xfId="0" applyNumberFormat="1" applyFont="1" applyFill="1" applyBorder="1" applyAlignment="1">
      <alignment horizontal="center" vertical="center"/>
    </xf>
    <xf numFmtId="166"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0" fontId="2" fillId="3" borderId="1" xfId="0" applyFont="1" applyFill="1" applyBorder="1" applyAlignment="1">
      <alignment horizontal="left" vertical="center"/>
    </xf>
    <xf numFmtId="165" fontId="2" fillId="3" borderId="1" xfId="0" applyNumberFormat="1" applyFont="1" applyFill="1" applyBorder="1" applyAlignment="1">
      <alignment horizontal="center" vertical="center"/>
    </xf>
    <xf numFmtId="166" fontId="2"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[dashbored(rushikesh punekar).xlsx]Sheet2!PivotTable2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Monthly</a:t>
            </a:r>
            <a:r>
              <a:rPr lang="en-IN" sz="2000" b="1" baseline="0">
                <a:solidFill>
                  <a:schemeClr val="tx1"/>
                </a:solidFill>
              </a:rPr>
              <a:t> target</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Sheet2!$E$4</c:f>
              <c:strCache>
                <c:ptCount val="1"/>
                <c:pt idx="0">
                  <c:v>Sum of Gross Revenue</c:v>
                </c:pt>
              </c:strCache>
            </c:strRef>
          </c:tx>
          <c:spPr>
            <a:solidFill>
              <a:schemeClr val="accent1"/>
            </a:solidFill>
            <a:ln>
              <a:noFill/>
            </a:ln>
            <a:effectLst/>
          </c:spPr>
          <c:invertIfNegative val="0"/>
          <c:cat>
            <c:strRef>
              <c:f>Sheet2!$D$5:$D$17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Sheet2!$E$5:$E$17</c:f>
              <c:numCache>
                <c:formatCode>#,##0.00</c:formatCode>
                <c:ptCount val="12"/>
                <c:pt idx="0">
                  <c:v>379750</c:v>
                </c:pt>
                <c:pt idx="1">
                  <c:v>633125</c:v>
                </c:pt>
                <c:pt idx="2">
                  <c:v>348475</c:v>
                </c:pt>
                <c:pt idx="3">
                  <c:v>151377</c:v>
                </c:pt>
                <c:pt idx="4">
                  <c:v>554012</c:v>
                </c:pt>
                <c:pt idx="5">
                  <c:v>762982</c:v>
                </c:pt>
                <c:pt idx="6">
                  <c:v>560908</c:v>
                </c:pt>
                <c:pt idx="7">
                  <c:v>651533</c:v>
                </c:pt>
                <c:pt idx="8">
                  <c:v>611711</c:v>
                </c:pt>
                <c:pt idx="9">
                  <c:v>502296</c:v>
                </c:pt>
                <c:pt idx="10">
                  <c:v>593189</c:v>
                </c:pt>
                <c:pt idx="11">
                  <c:v>303759</c:v>
                </c:pt>
              </c:numCache>
            </c:numRef>
          </c:val>
          <c:extLst>
            <c:ext xmlns:c16="http://schemas.microsoft.com/office/drawing/2014/chart" uri="{C3380CC4-5D6E-409C-BE32-E72D297353CC}">
              <c16:uniqueId val="{00000000-C87D-4363-8247-70E21B70D481}"/>
            </c:ext>
          </c:extLst>
        </c:ser>
        <c:ser>
          <c:idx val="1"/>
          <c:order val="1"/>
          <c:tx>
            <c:strRef>
              <c:f>Sheet2!$F$4</c:f>
              <c:strCache>
                <c:ptCount val="1"/>
                <c:pt idx="0">
                  <c:v>Sum of Monthly Target</c:v>
                </c:pt>
              </c:strCache>
            </c:strRef>
          </c:tx>
          <c:spPr>
            <a:solidFill>
              <a:schemeClr val="accent2"/>
            </a:solidFill>
            <a:ln>
              <a:noFill/>
            </a:ln>
            <a:effectLst/>
          </c:spPr>
          <c:invertIfNegative val="0"/>
          <c:cat>
            <c:strRef>
              <c:f>Sheet2!$D$5:$D$17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Sheet2!$F$5:$F$17</c:f>
              <c:numCache>
                <c:formatCode>#,##0.00</c:formatCode>
                <c:ptCount val="12"/>
                <c:pt idx="0">
                  <c:v>815079.66</c:v>
                </c:pt>
                <c:pt idx="1">
                  <c:v>879437.66</c:v>
                </c:pt>
                <c:pt idx="2">
                  <c:v>717999.72</c:v>
                </c:pt>
                <c:pt idx="3">
                  <c:v>399668.57</c:v>
                </c:pt>
                <c:pt idx="4">
                  <c:v>1025010.84</c:v>
                </c:pt>
                <c:pt idx="5">
                  <c:v>1005887.13</c:v>
                </c:pt>
                <c:pt idx="6">
                  <c:v>936006.82</c:v>
                </c:pt>
                <c:pt idx="7">
                  <c:v>1027424.8999999999</c:v>
                </c:pt>
                <c:pt idx="8">
                  <c:v>1014871.93</c:v>
                </c:pt>
                <c:pt idx="9">
                  <c:v>870836.89999999991</c:v>
                </c:pt>
                <c:pt idx="10">
                  <c:v>976310.85</c:v>
                </c:pt>
                <c:pt idx="11">
                  <c:v>679423.27</c:v>
                </c:pt>
              </c:numCache>
            </c:numRef>
          </c:val>
          <c:extLst>
            <c:ext xmlns:c16="http://schemas.microsoft.com/office/drawing/2014/chart" uri="{C3380CC4-5D6E-409C-BE32-E72D297353CC}">
              <c16:uniqueId val="{00000001-C87D-4363-8247-70E21B70D481}"/>
            </c:ext>
          </c:extLst>
        </c:ser>
        <c:dLbls>
          <c:showLegendKey val="0"/>
          <c:showVal val="0"/>
          <c:showCatName val="0"/>
          <c:showSerName val="0"/>
          <c:showPercent val="0"/>
          <c:showBubbleSize val="0"/>
        </c:dLbls>
        <c:gapWidth val="219"/>
        <c:overlap val="-27"/>
        <c:axId val="183073871"/>
        <c:axId val="183084431"/>
      </c:barChart>
      <c:catAx>
        <c:axId val="183073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084431"/>
        <c:crosses val="autoZero"/>
        <c:auto val="1"/>
        <c:lblAlgn val="ctr"/>
        <c:lblOffset val="100"/>
        <c:noMultiLvlLbl val="0"/>
      </c:catAx>
      <c:valAx>
        <c:axId val="18308443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07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[dashbored(rushikesh punekar).xlsx]Sheet2!PivotTable4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2000" b="1">
                <a:solidFill>
                  <a:schemeClr val="tx1"/>
                </a:solidFill>
              </a:rPr>
              <a:t>Monthly</a:t>
            </a:r>
            <a:r>
              <a:rPr lang="en-US" sz="2000" b="1" baseline="0">
                <a:solidFill>
                  <a:schemeClr val="tx1"/>
                </a:solidFill>
              </a:rPr>
              <a:t> Revenue</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Sheet2!$L$9</c:f>
              <c:strCache>
                <c:ptCount val="1"/>
                <c:pt idx="0">
                  <c:v>Total</c:v>
                </c:pt>
              </c:strCache>
            </c:strRef>
          </c:tx>
          <c:spPr>
            <a:solidFill>
              <a:schemeClr val="accent4">
                <a:lumMod val="50000"/>
              </a:schemeClr>
            </a:solidFill>
            <a:ln>
              <a:noFill/>
            </a:ln>
            <a:effectLst/>
          </c:spPr>
          <c:invertIfNegative val="0"/>
          <c:cat>
            <c:strRef>
              <c:f>Sheet2!$K$10:$K$20</c:f>
              <c:strCache>
                <c:ptCount val="10"/>
                <c:pt idx="0">
                  <c:v>Alice Johnson</c:v>
                </c:pt>
                <c:pt idx="1">
                  <c:v>Bob Smith</c:v>
                </c:pt>
                <c:pt idx="2">
                  <c:v>Carol White</c:v>
                </c:pt>
                <c:pt idx="3">
                  <c:v>David Lee</c:v>
                </c:pt>
                <c:pt idx="4">
                  <c:v>Emma Brown</c:v>
                </c:pt>
                <c:pt idx="5">
                  <c:v>Frank Davis</c:v>
                </c:pt>
                <c:pt idx="6">
                  <c:v>Grace Wilson</c:v>
                </c:pt>
                <c:pt idx="7">
                  <c:v>Henry Moore</c:v>
                </c:pt>
                <c:pt idx="8">
                  <c:v>Iris Taylor</c:v>
                </c:pt>
                <c:pt idx="9">
                  <c:v>Jack Anderson</c:v>
                </c:pt>
              </c:strCache>
            </c:strRef>
          </c:cat>
          <c:val>
            <c:numRef>
              <c:f>Sheet2!$L$10:$L$20</c:f>
              <c:numCache>
                <c:formatCode>#,##0.00</c:formatCode>
                <c:ptCount val="10"/>
                <c:pt idx="0">
                  <c:v>437325</c:v>
                </c:pt>
                <c:pt idx="1">
                  <c:v>831639</c:v>
                </c:pt>
                <c:pt idx="2">
                  <c:v>576178</c:v>
                </c:pt>
                <c:pt idx="3">
                  <c:v>442157</c:v>
                </c:pt>
                <c:pt idx="4">
                  <c:v>767299</c:v>
                </c:pt>
                <c:pt idx="5">
                  <c:v>609273</c:v>
                </c:pt>
                <c:pt idx="6">
                  <c:v>559462</c:v>
                </c:pt>
                <c:pt idx="7">
                  <c:v>591454</c:v>
                </c:pt>
                <c:pt idx="8">
                  <c:v>587906</c:v>
                </c:pt>
                <c:pt idx="9">
                  <c:v>650424</c:v>
                </c:pt>
              </c:numCache>
            </c:numRef>
          </c:val>
          <c:extLst>
            <c:ext xmlns:c16="http://schemas.microsoft.com/office/drawing/2014/chart" uri="{C3380CC4-5D6E-409C-BE32-E72D297353CC}">
              <c16:uniqueId val="{00000000-9D18-4EFF-9C42-971B9445C533}"/>
            </c:ext>
          </c:extLst>
        </c:ser>
        <c:dLbls>
          <c:showLegendKey val="0"/>
          <c:showVal val="0"/>
          <c:showCatName val="0"/>
          <c:showSerName val="0"/>
          <c:showPercent val="0"/>
          <c:showBubbleSize val="0"/>
        </c:dLbls>
        <c:gapWidth val="182"/>
        <c:axId val="1372405823"/>
        <c:axId val="1372417343"/>
      </c:barChart>
      <c:catAx>
        <c:axId val="137240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2417343"/>
        <c:crosses val="autoZero"/>
        <c:auto val="1"/>
        <c:lblAlgn val="ctr"/>
        <c:lblOffset val="100"/>
        <c:noMultiLvlLbl val="0"/>
      </c:catAx>
      <c:valAx>
        <c:axId val="13724173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724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[dashbored(rushikesh punekar).xlsx]Sheet2!PivotTable6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profit</a:t>
            </a:r>
            <a:r>
              <a:rPr lang="en-IN" sz="2000" b="1" baseline="0">
                <a:solidFill>
                  <a:schemeClr val="tx1"/>
                </a:solidFill>
              </a:rPr>
              <a:t> trend</a:t>
            </a:r>
            <a:endParaRPr lang="en-IN" sz="2000" b="1">
              <a:solidFill>
                <a:schemeClr val="tx1"/>
              </a:solidFill>
            </a:endParaRPr>
          </a:p>
        </c:rich>
      </c:tx>
      <c:layout>
        <c:manualLayout>
          <c:xMode val="edge"/>
          <c:yMode val="edge"/>
          <c:x val="0.40314062177072979"/>
          <c:y val="0.123511174656276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Sheet2!$R$15</c:f>
              <c:strCache>
                <c:ptCount val="1"/>
                <c:pt idx="0">
                  <c:v>Sum of Gross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Sheet2!$Q$16:$Q$28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Sheet2!$R$16:$R$28</c:f>
              <c:numCache>
                <c:formatCode>#,##0.00</c:formatCode>
                <c:ptCount val="12"/>
                <c:pt idx="0">
                  <c:v>379750</c:v>
                </c:pt>
                <c:pt idx="1">
                  <c:v>633125</c:v>
                </c:pt>
                <c:pt idx="2">
                  <c:v>348475</c:v>
                </c:pt>
                <c:pt idx="3">
                  <c:v>151377</c:v>
                </c:pt>
                <c:pt idx="4">
                  <c:v>554012</c:v>
                </c:pt>
                <c:pt idx="5">
                  <c:v>762982</c:v>
                </c:pt>
                <c:pt idx="6">
                  <c:v>560908</c:v>
                </c:pt>
                <c:pt idx="7">
                  <c:v>651533</c:v>
                </c:pt>
                <c:pt idx="8">
                  <c:v>611711</c:v>
                </c:pt>
                <c:pt idx="9">
                  <c:v>502296</c:v>
                </c:pt>
                <c:pt idx="10">
                  <c:v>593189</c:v>
                </c:pt>
                <c:pt idx="11">
                  <c:v>303759</c:v>
                </c:pt>
              </c:numCache>
            </c:numRef>
          </c:val>
          <c:smooth val="0"/>
          <c:extLst>
            <c:ext xmlns:c16="http://schemas.microsoft.com/office/drawing/2014/chart" uri="{C3380CC4-5D6E-409C-BE32-E72D297353CC}">
              <c16:uniqueId val="{00000000-8D38-41E7-9030-CC2BED39410A}"/>
            </c:ext>
          </c:extLst>
        </c:ser>
        <c:ser>
          <c:idx val="1"/>
          <c:order val="1"/>
          <c:tx>
            <c:strRef>
              <c:f>Sheet2!$S$15</c:f>
              <c:strCache>
                <c:ptCount val="1"/>
                <c:pt idx="0">
                  <c:v>Sum of Profit Margin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Sheet2!$Q$16:$Q$28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Sheet2!$S$16:$S$28</c:f>
              <c:numCache>
                <c:formatCode>0.00"%"</c:formatCode>
                <c:ptCount val="12"/>
                <c:pt idx="0">
                  <c:v>1323.26</c:v>
                </c:pt>
                <c:pt idx="1">
                  <c:v>1539.9900000000002</c:v>
                </c:pt>
                <c:pt idx="2">
                  <c:v>1163.46</c:v>
                </c:pt>
                <c:pt idx="3">
                  <c:v>722.13</c:v>
                </c:pt>
                <c:pt idx="4">
                  <c:v>1464.41</c:v>
                </c:pt>
                <c:pt idx="5">
                  <c:v>1556.3200000000002</c:v>
                </c:pt>
                <c:pt idx="6">
                  <c:v>1638.0400000000002</c:v>
                </c:pt>
                <c:pt idx="7">
                  <c:v>1591.4499999999998</c:v>
                </c:pt>
                <c:pt idx="8">
                  <c:v>1620.6399999999996</c:v>
                </c:pt>
                <c:pt idx="9">
                  <c:v>1499.83</c:v>
                </c:pt>
                <c:pt idx="10">
                  <c:v>1825.82</c:v>
                </c:pt>
                <c:pt idx="11">
                  <c:v>1013.0099999999998</c:v>
                </c:pt>
              </c:numCache>
            </c:numRef>
          </c:val>
          <c:smooth val="0"/>
          <c:extLst>
            <c:ext xmlns:c16="http://schemas.microsoft.com/office/drawing/2014/chart" uri="{C3380CC4-5D6E-409C-BE32-E72D297353CC}">
              <c16:uniqueId val="{00000001-8D38-41E7-9030-CC2BED39410A}"/>
            </c:ext>
          </c:extLst>
        </c:ser>
        <c:dLbls>
          <c:showLegendKey val="0"/>
          <c:showVal val="0"/>
          <c:showCatName val="0"/>
          <c:showSerName val="0"/>
          <c:showPercent val="0"/>
          <c:showBubbleSize val="0"/>
        </c:dLbls>
        <c:marker val="1"/>
        <c:smooth val="0"/>
        <c:axId val="614400096"/>
        <c:axId val="614397696"/>
      </c:lineChart>
      <c:catAx>
        <c:axId val="6144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97696"/>
        <c:crosses val="autoZero"/>
        <c:auto val="1"/>
        <c:lblAlgn val="ctr"/>
        <c:lblOffset val="100"/>
        <c:noMultiLvlLbl val="0"/>
      </c:catAx>
      <c:valAx>
        <c:axId val="614397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[dashbored(rushikesh punekar).xlsx]Sheet2!PivotTable5</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Profit</a:t>
            </a:r>
            <a:r>
              <a:rPr lang="en-US" sz="2000" b="1" baseline="0">
                <a:solidFill>
                  <a:schemeClr val="tx1"/>
                </a:solidFill>
              </a:rPr>
              <a:t> margin</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Sheet2!$O$14</c:f>
              <c:strCache>
                <c:ptCount val="1"/>
                <c:pt idx="0">
                  <c:v>Total</c:v>
                </c:pt>
              </c:strCache>
            </c:strRef>
          </c:tx>
          <c:spPr>
            <a:solidFill>
              <a:schemeClr val="accent1"/>
            </a:solidFill>
            <a:ln>
              <a:noFill/>
            </a:ln>
            <a:effectLst/>
          </c:spPr>
          <c:invertIfNegative val="0"/>
          <c:cat>
            <c:strRef>
              <c:f>Sheet2!$N$15:$N$19</c:f>
              <c:strCache>
                <c:ptCount val="4"/>
                <c:pt idx="0">
                  <c:v>AI Suite</c:v>
                </c:pt>
                <c:pt idx="1">
                  <c:v>Blockchain Ledger</c:v>
                </c:pt>
                <c:pt idx="2">
                  <c:v>Cloud Storage</c:v>
                </c:pt>
                <c:pt idx="3">
                  <c:v>Security Hardware</c:v>
                </c:pt>
              </c:strCache>
            </c:strRef>
          </c:cat>
          <c:val>
            <c:numRef>
              <c:f>Sheet2!$O$15:$O$19</c:f>
              <c:numCache>
                <c:formatCode>#,##0.00</c:formatCode>
                <c:ptCount val="4"/>
                <c:pt idx="0">
                  <c:v>3699809.6300000004</c:v>
                </c:pt>
                <c:pt idx="1">
                  <c:v>2385917.33</c:v>
                </c:pt>
                <c:pt idx="2">
                  <c:v>925129.27999999991</c:v>
                </c:pt>
                <c:pt idx="3">
                  <c:v>3337102.0100000002</c:v>
                </c:pt>
              </c:numCache>
            </c:numRef>
          </c:val>
          <c:extLst>
            <c:ext xmlns:c16="http://schemas.microsoft.com/office/drawing/2014/chart" uri="{C3380CC4-5D6E-409C-BE32-E72D297353CC}">
              <c16:uniqueId val="{00000000-B16E-4B5E-8235-ACD144B170AF}"/>
            </c:ext>
          </c:extLst>
        </c:ser>
        <c:dLbls>
          <c:showLegendKey val="0"/>
          <c:showVal val="0"/>
          <c:showCatName val="0"/>
          <c:showSerName val="0"/>
          <c:showPercent val="0"/>
          <c:showBubbleSize val="0"/>
        </c:dLbls>
        <c:gapWidth val="182"/>
        <c:axId val="2065212848"/>
        <c:axId val="2065212368"/>
      </c:barChart>
      <c:catAx>
        <c:axId val="206521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212368"/>
        <c:crosses val="autoZero"/>
        <c:auto val="1"/>
        <c:lblAlgn val="ctr"/>
        <c:lblOffset val="100"/>
        <c:noMultiLvlLbl val="0"/>
      </c:catAx>
      <c:valAx>
        <c:axId val="20652123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21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[dashbored(rushikesh punekar).xlsx]Sheet2!PivotTable4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Product</a:t>
            </a:r>
            <a:r>
              <a:rPr lang="en-IN" sz="2000" b="1" baseline="0">
                <a:solidFill>
                  <a:schemeClr val="tx1"/>
                </a:solidFill>
              </a:rPr>
              <a:t> sold</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Sheet2!$L$9</c:f>
              <c:strCache>
                <c:ptCount val="1"/>
                <c:pt idx="0">
                  <c:v>Total</c:v>
                </c:pt>
              </c:strCache>
            </c:strRef>
          </c:tx>
          <c:spPr>
            <a:ln w="28575" cap="rnd">
              <a:solidFill>
                <a:schemeClr val="accent1"/>
              </a:solidFill>
              <a:round/>
            </a:ln>
            <a:effectLst/>
          </c:spPr>
          <c:marker>
            <c:symbol val="none"/>
          </c:marker>
          <c:cat>
            <c:strRef>
              <c:f>Sheet2!$K$10:$K$20</c:f>
              <c:strCache>
                <c:ptCount val="10"/>
                <c:pt idx="0">
                  <c:v>Alice Johnson</c:v>
                </c:pt>
                <c:pt idx="1">
                  <c:v>Bob Smith</c:v>
                </c:pt>
                <c:pt idx="2">
                  <c:v>Carol White</c:v>
                </c:pt>
                <c:pt idx="3">
                  <c:v>David Lee</c:v>
                </c:pt>
                <c:pt idx="4">
                  <c:v>Emma Brown</c:v>
                </c:pt>
                <c:pt idx="5">
                  <c:v>Frank Davis</c:v>
                </c:pt>
                <c:pt idx="6">
                  <c:v>Grace Wilson</c:v>
                </c:pt>
                <c:pt idx="7">
                  <c:v>Henry Moore</c:v>
                </c:pt>
                <c:pt idx="8">
                  <c:v>Iris Taylor</c:v>
                </c:pt>
                <c:pt idx="9">
                  <c:v>Jack Anderson</c:v>
                </c:pt>
              </c:strCache>
            </c:strRef>
          </c:cat>
          <c:val>
            <c:numRef>
              <c:f>Sheet2!$L$10:$L$20</c:f>
              <c:numCache>
                <c:formatCode>#,##0.00</c:formatCode>
                <c:ptCount val="10"/>
                <c:pt idx="0">
                  <c:v>437325</c:v>
                </c:pt>
                <c:pt idx="1">
                  <c:v>831639</c:v>
                </c:pt>
                <c:pt idx="2">
                  <c:v>576178</c:v>
                </c:pt>
                <c:pt idx="3">
                  <c:v>442157</c:v>
                </c:pt>
                <c:pt idx="4">
                  <c:v>767299</c:v>
                </c:pt>
                <c:pt idx="5">
                  <c:v>609273</c:v>
                </c:pt>
                <c:pt idx="6">
                  <c:v>559462</c:v>
                </c:pt>
                <c:pt idx="7">
                  <c:v>591454</c:v>
                </c:pt>
                <c:pt idx="8">
                  <c:v>587906</c:v>
                </c:pt>
                <c:pt idx="9">
                  <c:v>650424</c:v>
                </c:pt>
              </c:numCache>
            </c:numRef>
          </c:val>
          <c:smooth val="0"/>
          <c:extLst>
            <c:ext xmlns:c16="http://schemas.microsoft.com/office/drawing/2014/chart" uri="{C3380CC4-5D6E-409C-BE32-E72D297353CC}">
              <c16:uniqueId val="{00000000-8ADA-4DF8-9E2F-32AB164B2D7B}"/>
            </c:ext>
          </c:extLst>
        </c:ser>
        <c:dLbls>
          <c:showLegendKey val="0"/>
          <c:showVal val="0"/>
          <c:showCatName val="0"/>
          <c:showSerName val="0"/>
          <c:showPercent val="0"/>
          <c:showBubbleSize val="0"/>
        </c:dLbls>
        <c:smooth val="0"/>
        <c:axId val="2130454320"/>
        <c:axId val="716099584"/>
      </c:lineChart>
      <c:catAx>
        <c:axId val="2130454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99584"/>
        <c:crosses val="autoZero"/>
        <c:auto val="1"/>
        <c:lblAlgn val="ctr"/>
        <c:lblOffset val="100"/>
        <c:noMultiLvlLbl val="0"/>
      </c:catAx>
      <c:valAx>
        <c:axId val="71609958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45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[dashbored(rushikesh punekar).xlsx]Sheet2!PivotTable1</c:name>
    <c:fmtId val="3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t>Revenue distribution by region</a:t>
            </a:r>
          </a:p>
          <a:p>
            <a:pPr>
              <a:defRPr sz="1800" b="1"/>
            </a:pPr>
            <a:endParaRPr lang="en-US" sz="1800" b="1"/>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C0-4F0E-91E3-6015966A10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C0-4F0E-91E3-6015966A10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C0-4F0E-91E3-6015966A10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C0-4F0E-91E3-6015966A10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C0-4F0E-91E3-6015966A1063}"/>
              </c:ext>
            </c:extLst>
          </c:dPt>
          <c:cat>
            <c:strRef>
              <c:f>Sheet2!$A$4:$A$9</c:f>
              <c:strCache>
                <c:ptCount val="5"/>
                <c:pt idx="0">
                  <c:v>East</c:v>
                </c:pt>
                <c:pt idx="1">
                  <c:v>International</c:v>
                </c:pt>
                <c:pt idx="2">
                  <c:v>North</c:v>
                </c:pt>
                <c:pt idx="3">
                  <c:v>South</c:v>
                </c:pt>
                <c:pt idx="4">
                  <c:v>West</c:v>
                </c:pt>
              </c:strCache>
            </c:strRef>
          </c:cat>
          <c:val>
            <c:numRef>
              <c:f>Sheet2!$B$4:$B$9</c:f>
              <c:numCache>
                <c:formatCode>#,##0.00</c:formatCode>
                <c:ptCount val="5"/>
                <c:pt idx="0">
                  <c:v>1433814</c:v>
                </c:pt>
                <c:pt idx="1">
                  <c:v>1222708</c:v>
                </c:pt>
                <c:pt idx="2">
                  <c:v>1086763</c:v>
                </c:pt>
                <c:pt idx="3">
                  <c:v>1253577</c:v>
                </c:pt>
                <c:pt idx="4">
                  <c:v>1056255</c:v>
                </c:pt>
              </c:numCache>
            </c:numRef>
          </c:val>
          <c:extLst>
            <c:ext xmlns:c16="http://schemas.microsoft.com/office/drawing/2014/chart" uri="{C3380CC4-5D6E-409C-BE32-E72D297353CC}">
              <c16:uniqueId val="{0000000A-F1C0-4F0E-91E3-6015966A10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[dashbored(rushikesh punekar).xlsx]g1!PivotTable1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'g1'!$B$3</c:f>
              <c:strCache>
                <c:ptCount val="1"/>
                <c:pt idx="0">
                  <c:v>Total</c:v>
                </c:pt>
              </c:strCache>
            </c:strRef>
          </c:tx>
          <c:spPr>
            <a:solidFill>
              <a:schemeClr val="accent1"/>
            </a:solidFill>
            <a:ln>
              <a:noFill/>
            </a:ln>
            <a:effectLst/>
            <a:sp3d/>
          </c:spPr>
          <c:invertIfNegative val="0"/>
          <c:cat>
            <c:strRef>
              <c:f>'g1'!$A$4:$A$16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'g1'!$B$4:$B$16</c:f>
              <c:numCache>
                <c:formatCode>#,##0.00</c:formatCode>
                <c:ptCount val="12"/>
                <c:pt idx="0">
                  <c:v>379750</c:v>
                </c:pt>
                <c:pt idx="1">
                  <c:v>633125</c:v>
                </c:pt>
                <c:pt idx="2">
                  <c:v>348475</c:v>
                </c:pt>
                <c:pt idx="3">
                  <c:v>151377</c:v>
                </c:pt>
                <c:pt idx="4">
                  <c:v>554012</c:v>
                </c:pt>
                <c:pt idx="5">
                  <c:v>762982</c:v>
                </c:pt>
                <c:pt idx="6">
                  <c:v>560908</c:v>
                </c:pt>
                <c:pt idx="7">
                  <c:v>651533</c:v>
                </c:pt>
                <c:pt idx="8">
                  <c:v>611711</c:v>
                </c:pt>
                <c:pt idx="9">
                  <c:v>502296</c:v>
                </c:pt>
                <c:pt idx="10">
                  <c:v>593189</c:v>
                </c:pt>
                <c:pt idx="11">
                  <c:v>303759</c:v>
                </c:pt>
              </c:numCache>
            </c:numRef>
          </c:val>
          <c:extLst>
            <c:ext xmlns:c16="http://schemas.microsoft.com/office/drawing/2014/chart" uri="{C3380CC4-5D6E-409C-BE32-E72D297353CC}">
              <c16:uniqueId val="{00000000-C58B-4E7E-B9A8-7FFB0CD1F3F7}"/>
            </c:ext>
          </c:extLst>
        </c:ser>
        <c:dLbls>
          <c:showLegendKey val="0"/>
          <c:showVal val="0"/>
          <c:showCatName val="0"/>
          <c:showSerName val="0"/>
          <c:showPercent val="0"/>
          <c:showBubbleSize val="0"/>
        </c:dLbls>
        <c:gapWidth val="150"/>
        <c:shape val="box"/>
        <c:axId val="466143663"/>
        <c:axId val="466137903"/>
        <c:axId val="0"/>
      </c:bar3DChart>
      <c:catAx>
        <c:axId val="466143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37903"/>
        <c:crosses val="autoZero"/>
        <c:auto val="1"/>
        <c:lblAlgn val="ctr"/>
        <c:lblOffset val="100"/>
        <c:noMultiLvlLbl val="0"/>
      </c:catAx>
      <c:valAx>
        <c:axId val="466137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4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175189</xdr:colOff>
      <xdr:row>0</xdr:row>
      <xdr:rowOff>183030</xdr:rowOff>
    </xdr:from>
    <xdr:to>
      <xdr:col>13</xdr:col>
      <xdr:colOff>484520</xdr:colOff>
      <xdr:row>14</xdr:row>
      <xdr:rowOff>33421</xdr:rowOff>
    </xdr:to>
    <xdr:graphicFrame macro="">
      <xdr:nvGraphicFramePr>
        <xdr:cNvPr id="5" name="Chart 4">
          <a:extLst>
            <a:ext uri="{FF2B5EF4-FFF2-40B4-BE49-F238E27FC236}">
              <a16:creationId xmlns:a16="http://schemas.microsoft.com/office/drawing/2014/main" id="{F4143808-6375-44D7-A5CE-4F56CA0C0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514974</xdr:colOff>
      <xdr:row>1</xdr:row>
      <xdr:rowOff>0</xdr:rowOff>
    </xdr:from>
    <xdr:to>
      <xdr:col>20</xdr:col>
      <xdr:colOff>98030</xdr:colOff>
      <xdr:row>42</xdr:row>
      <xdr:rowOff>11141</xdr:rowOff>
    </xdr:to>
    <xdr:graphicFrame macro="">
      <xdr:nvGraphicFramePr>
        <xdr:cNvPr id="6" name="Chart 5">
          <a:extLst>
            <a:ext uri="{FF2B5EF4-FFF2-40B4-BE49-F238E27FC236}">
              <a16:creationId xmlns:a16="http://schemas.microsoft.com/office/drawing/2014/main" id="{9451F0CF-518A-4024-8330-9A400453B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98164</xdr:colOff>
      <xdr:row>27</xdr:row>
      <xdr:rowOff>77982</xdr:rowOff>
    </xdr:from>
    <xdr:to>
      <xdr:col>13</xdr:col>
      <xdr:colOff>466280</xdr:colOff>
      <xdr:row>41</xdr:row>
      <xdr:rowOff>144823</xdr:rowOff>
    </xdr:to>
    <xdr:graphicFrame macro="">
      <xdr:nvGraphicFramePr>
        <xdr:cNvPr id="13" name="Chart 12">
          <a:extLst>
            <a:ext uri="{FF2B5EF4-FFF2-40B4-BE49-F238E27FC236}">
              <a16:creationId xmlns:a16="http://schemas.microsoft.com/office/drawing/2014/main" id="{0B3E267C-2DB5-4636-899D-CCF1AF718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135046</xdr:colOff>
      <xdr:row>1</xdr:row>
      <xdr:rowOff>22281</xdr:rowOff>
    </xdr:from>
    <xdr:to>
      <xdr:col>24</xdr:col>
      <xdr:colOff>623859</xdr:colOff>
      <xdr:row>42</xdr:row>
      <xdr:rowOff>0</xdr:rowOff>
    </xdr:to>
    <xdr:graphicFrame macro="">
      <xdr:nvGraphicFramePr>
        <xdr:cNvPr id="14" name="Chart 13">
          <a:extLst>
            <a:ext uri="{FF2B5EF4-FFF2-40B4-BE49-F238E27FC236}">
              <a16:creationId xmlns:a16="http://schemas.microsoft.com/office/drawing/2014/main" id="{4C4F48DD-E541-4AD3-B361-17CCF7CDC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21834</xdr:colOff>
      <xdr:row>0</xdr:row>
      <xdr:rowOff>158193</xdr:rowOff>
    </xdr:from>
    <xdr:to>
      <xdr:col>3</xdr:col>
      <xdr:colOff>635000</xdr:colOff>
      <xdr:row>15</xdr:row>
      <xdr:rowOff>271</xdr:rowOff>
    </xdr:to>
    <mc:AlternateContent xmlns:mc="http://schemas.openxmlformats.org/markup-compatibility/2006" xmlns:a14="http://schemas.microsoft.com/office/drawing/2010/main">
      <mc:Choice Requires="a14">
        <xdr:graphicFrame macro="">
          <xdr:nvGraphicFramePr>
            <xdr:cNvPr id="15" name="Gross Revenue">
              <a:extLst>
                <a:ext uri="{FF2B5EF4-FFF2-40B4-BE49-F238E27FC236}">
                  <a16:creationId xmlns:a16="http://schemas.microsoft.com/office/drawing/2014/main" id="{598EF924-5FF2-DCB2-6950-A6653A5A9C55}"/>
                </a:ext>
              </a:extLst>
            </xdr:cNvPr>
            <xdr:cNvGraphicFramePr/>
          </xdr:nvGraphicFramePr>
          <xdr:xfrm>
            <a:off x="0" y="0"/>
            <a:ext cx="0" cy="0"/>
          </xdr:xfrm>
          <a:graphic>
            <a:graphicData uri="http://schemas.microsoft.com/office/drawing/2010/slicer">
              <sle:slicer xmlns:sle="http://schemas.microsoft.com/office/drawing/2010/slicer" name="Gross Revenue"/>
            </a:graphicData>
          </a:graphic>
        </xdr:graphicFrame>
      </mc:Choice>
      <mc:Fallback xmlns="">
        <xdr:sp macro="" textlink="">
          <xdr:nvSpPr>
            <xdr:cNvPr id="0" name=""/>
            <xdr:cNvSpPr>
              <a:spLocks noTextEdit="1"/>
            </xdr:cNvSpPr>
          </xdr:nvSpPr>
          <xdr:spPr>
            <a:xfrm>
              <a:off x="701396" y="158193"/>
              <a:ext cx="1972288" cy="2682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xdr:row>
      <xdr:rowOff>19608</xdr:rowOff>
    </xdr:from>
    <xdr:to>
      <xdr:col>7</xdr:col>
      <xdr:colOff>118980</xdr:colOff>
      <xdr:row>14</xdr:row>
      <xdr:rowOff>178246</xdr:rowOff>
    </xdr:to>
    <mc:AlternateContent xmlns:mc="http://schemas.openxmlformats.org/markup-compatibility/2006" xmlns:a14="http://schemas.microsoft.com/office/drawing/2010/main">
      <mc:Choice Requires="a14">
        <xdr:graphicFrame macro="">
          <xdr:nvGraphicFramePr>
            <xdr:cNvPr id="16" name="Total Net Profit">
              <a:extLst>
                <a:ext uri="{FF2B5EF4-FFF2-40B4-BE49-F238E27FC236}">
                  <a16:creationId xmlns:a16="http://schemas.microsoft.com/office/drawing/2014/main" id="{0DCF9D71-6F87-1A02-A54C-4CA25BA32CFF}"/>
                </a:ext>
              </a:extLst>
            </xdr:cNvPr>
            <xdr:cNvGraphicFramePr/>
          </xdr:nvGraphicFramePr>
          <xdr:xfrm>
            <a:off x="0" y="0"/>
            <a:ext cx="0" cy="0"/>
          </xdr:xfrm>
          <a:graphic>
            <a:graphicData uri="http://schemas.microsoft.com/office/drawing/2010/slicer">
              <sle:slicer xmlns:sle="http://schemas.microsoft.com/office/drawing/2010/slicer" name="Total Net Profit"/>
            </a:graphicData>
          </a:graphic>
        </xdr:graphicFrame>
      </mc:Choice>
      <mc:Fallback xmlns="">
        <xdr:sp macro="" textlink="">
          <xdr:nvSpPr>
            <xdr:cNvPr id="0" name=""/>
            <xdr:cNvSpPr>
              <a:spLocks noTextEdit="1"/>
            </xdr:cNvSpPr>
          </xdr:nvSpPr>
          <xdr:spPr>
            <a:xfrm>
              <a:off x="2718246" y="208994"/>
              <a:ext cx="2157664" cy="2620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23171</xdr:colOff>
      <xdr:row>15</xdr:row>
      <xdr:rowOff>14706</xdr:rowOff>
    </xdr:from>
    <xdr:to>
      <xdr:col>3</xdr:col>
      <xdr:colOff>668421</xdr:colOff>
      <xdr:row>27</xdr:row>
      <xdr:rowOff>55702</xdr:rowOff>
    </xdr:to>
    <mc:AlternateContent xmlns:mc="http://schemas.openxmlformats.org/markup-compatibility/2006" xmlns:a14="http://schemas.microsoft.com/office/drawing/2010/main">
      <mc:Choice Requires="a14">
        <xdr:graphicFrame macro="">
          <xdr:nvGraphicFramePr>
            <xdr:cNvPr id="17" name="Monthly Target">
              <a:extLst>
                <a:ext uri="{FF2B5EF4-FFF2-40B4-BE49-F238E27FC236}">
                  <a16:creationId xmlns:a16="http://schemas.microsoft.com/office/drawing/2014/main" id="{AF6F9F9F-FE7C-C970-26DF-519B591433A9}"/>
                </a:ext>
              </a:extLst>
            </xdr:cNvPr>
            <xdr:cNvGraphicFramePr/>
          </xdr:nvGraphicFramePr>
          <xdr:xfrm>
            <a:off x="0" y="0"/>
            <a:ext cx="0" cy="0"/>
          </xdr:xfrm>
          <a:graphic>
            <a:graphicData uri="http://schemas.microsoft.com/office/drawing/2010/slicer">
              <sle:slicer xmlns:sle="http://schemas.microsoft.com/office/drawing/2010/slicer" name="Monthly Target"/>
            </a:graphicData>
          </a:graphic>
        </xdr:graphicFrame>
      </mc:Choice>
      <mc:Fallback xmlns="">
        <xdr:sp macro="" textlink="">
          <xdr:nvSpPr>
            <xdr:cNvPr id="0" name=""/>
            <xdr:cNvSpPr>
              <a:spLocks noTextEdit="1"/>
            </xdr:cNvSpPr>
          </xdr:nvSpPr>
          <xdr:spPr>
            <a:xfrm>
              <a:off x="702733" y="2855495"/>
              <a:ext cx="2004372" cy="2313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11140</xdr:colOff>
      <xdr:row>15</xdr:row>
      <xdr:rowOff>20944</xdr:rowOff>
    </xdr:from>
    <xdr:to>
      <xdr:col>7</xdr:col>
      <xdr:colOff>77982</xdr:colOff>
      <xdr:row>27</xdr:row>
      <xdr:rowOff>77983</xdr:rowOff>
    </xdr:to>
    <mc:AlternateContent xmlns:mc="http://schemas.openxmlformats.org/markup-compatibility/2006" xmlns:a14="http://schemas.microsoft.com/office/drawing/2010/main">
      <mc:Choice Requires="a14">
        <xdr:graphicFrame macro="">
          <xdr:nvGraphicFramePr>
            <xdr:cNvPr id="18" name="Profit Margin %">
              <a:extLst>
                <a:ext uri="{FF2B5EF4-FFF2-40B4-BE49-F238E27FC236}">
                  <a16:creationId xmlns:a16="http://schemas.microsoft.com/office/drawing/2014/main" id="{756ACB0C-EAAF-7ABD-D17E-F29D13A8CB7D}"/>
                </a:ext>
              </a:extLst>
            </xdr:cNvPr>
            <xdr:cNvGraphicFramePr/>
          </xdr:nvGraphicFramePr>
          <xdr:xfrm>
            <a:off x="0" y="0"/>
            <a:ext cx="0" cy="0"/>
          </xdr:xfrm>
          <a:graphic>
            <a:graphicData uri="http://schemas.microsoft.com/office/drawing/2010/slicer">
              <sle:slicer xmlns:sle="http://schemas.microsoft.com/office/drawing/2010/slicer" name="Profit Margin %"/>
            </a:graphicData>
          </a:graphic>
        </xdr:graphicFrame>
      </mc:Choice>
      <mc:Fallback xmlns="">
        <xdr:sp macro="" textlink="">
          <xdr:nvSpPr>
            <xdr:cNvPr id="0" name=""/>
            <xdr:cNvSpPr>
              <a:spLocks noTextEdit="1"/>
            </xdr:cNvSpPr>
          </xdr:nvSpPr>
          <xdr:spPr>
            <a:xfrm>
              <a:off x="2729386" y="2861733"/>
              <a:ext cx="2105526" cy="2329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151967</xdr:colOff>
      <xdr:row>14</xdr:row>
      <xdr:rowOff>65128</xdr:rowOff>
    </xdr:from>
    <xdr:to>
      <xdr:col>13</xdr:col>
      <xdr:colOff>466753</xdr:colOff>
      <xdr:row>27</xdr:row>
      <xdr:rowOff>75983</xdr:rowOff>
    </xdr:to>
    <xdr:graphicFrame macro="">
      <xdr:nvGraphicFramePr>
        <xdr:cNvPr id="19" name="Chart 18">
          <a:extLst>
            <a:ext uri="{FF2B5EF4-FFF2-40B4-BE49-F238E27FC236}">
              <a16:creationId xmlns:a16="http://schemas.microsoft.com/office/drawing/2014/main" id="{8CCCB381-35B5-4C23-8EA3-A5B0F5D00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632177</xdr:colOff>
      <xdr:row>27</xdr:row>
      <xdr:rowOff>90311</xdr:rowOff>
    </xdr:from>
    <xdr:to>
      <xdr:col>7</xdr:col>
      <xdr:colOff>67733</xdr:colOff>
      <xdr:row>41</xdr:row>
      <xdr:rowOff>146755</xdr:rowOff>
    </xdr:to>
    <xdr:graphicFrame macro="">
      <xdr:nvGraphicFramePr>
        <xdr:cNvPr id="3" name="Chart 2">
          <a:extLst>
            <a:ext uri="{FF2B5EF4-FFF2-40B4-BE49-F238E27FC236}">
              <a16:creationId xmlns:a16="http://schemas.microsoft.com/office/drawing/2014/main" id="{0EA1B722-15C8-4DEB-A3C2-D01C1AFEE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8467</xdr:colOff>
      <xdr:row>1</xdr:row>
      <xdr:rowOff>165100</xdr:rowOff>
    </xdr:from>
    <xdr:to>
      <xdr:col>11</xdr:col>
      <xdr:colOff>296334</xdr:colOff>
      <xdr:row>18</xdr:row>
      <xdr:rowOff>110067</xdr:rowOff>
    </xdr:to>
    <xdr:graphicFrame macro="">
      <xdr:nvGraphicFramePr>
        <xdr:cNvPr id="2" name="Chart 1">
          <a:extLst>
            <a:ext uri="{FF2B5EF4-FFF2-40B4-BE49-F238E27FC236}">
              <a16:creationId xmlns:a16="http://schemas.microsoft.com/office/drawing/2014/main" id="{97FB84FE-3D93-C1DB-0DCC-4643604D4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7.855675694445" createdVersion="8" refreshedVersion="8" minRefreshableVersion="3" recordCount="250" xr:uid="{505394F7-9493-4B69-8A07-C88E8B5CA5BD}">
  <cacheSource type="worksheet">
    <worksheetSource ref="A1:Q251" sheet="Sheet1"/>
  </cacheSource>
  <cacheFields count="17">
    <cacheField name="Order ID" numFmtId="0">
      <sharedItems/>
    </cacheField>
    <cacheField name="Date" numFmtId="164">
      <sharedItems containsSemiMixedTypes="0" containsNonDate="0" containsDate="1" containsString="0" minDate="2025-01-03T00:00:00" maxDate="2025-12-30T00:00:00"/>
    </cacheField>
    <cacheField name="Region" numFmtId="0">
      <sharedItems count="5">
        <s v="North"/>
        <s v="South"/>
        <s v="East"/>
        <s v="International"/>
        <s v="West"/>
      </sharedItems>
    </cacheField>
    <cacheField name="Product" numFmtId="0">
      <sharedItems count="4">
        <s v="AI Suite"/>
        <s v="Security Hardware"/>
        <s v="Blockchain Ledger"/>
        <s v="Cloud Storage"/>
      </sharedItems>
    </cacheField>
    <cacheField name="Sales Rep" numFmtId="0">
      <sharedItems count="10">
        <s v="Emma Brown"/>
        <s v="Alice Johnson"/>
        <s v="David Lee"/>
        <s v="Frank Davis"/>
        <s v="Henry Moore"/>
        <s v="Jack Anderson"/>
        <s v="Grace Wilson"/>
        <s v="Carol White"/>
        <s v="Bob Smith"/>
        <s v="Iris Taylor"/>
      </sharedItems>
    </cacheField>
    <cacheField name="Units Sold" numFmtId="0">
      <sharedItems containsSemiMixedTypes="0" containsString="0" containsNumber="1" containsInteger="1" minValue="1" maxValue="50"/>
    </cacheField>
    <cacheField name="Unit Price" numFmtId="4">
      <sharedItems containsSemiMixedTypes="0" containsString="0" containsNumber="1" containsInteger="1" minValue="213" maxValue="1400"/>
    </cacheField>
    <cacheField name="Gross Revenue" numFmtId="4">
      <sharedItems containsSemiMixedTypes="0" containsString="0" containsNumber="1" containsInteger="1" minValue="255" maxValue="65600" count="247">
        <n v="19424"/>
        <n v="1794"/>
        <n v="28768"/>
        <n v="5229"/>
        <n v="40705"/>
        <n v="3055"/>
        <n v="23976"/>
        <n v="48667"/>
        <n v="36400"/>
        <n v="39606"/>
        <n v="7792"/>
        <n v="4140"/>
        <n v="28548"/>
        <n v="60456"/>
        <n v="46248"/>
        <n v="18768"/>
        <n v="30168"/>
        <n v="54978"/>
        <n v="33320"/>
        <n v="15440"/>
        <n v="3650"/>
        <n v="40764"/>
        <n v="21519"/>
        <n v="39600"/>
        <n v="32515"/>
        <n v="6125"/>
        <n v="29729"/>
        <n v="31752"/>
        <n v="4500"/>
        <n v="7170"/>
        <n v="22336"/>
        <n v="5040"/>
        <n v="43463"/>
        <n v="13039"/>
        <n v="46184"/>
        <n v="19703"/>
        <n v="11690"/>
        <n v="2553"/>
        <n v="907"/>
        <n v="6489"/>
        <n v="32336"/>
        <n v="10932"/>
        <n v="11475"/>
        <n v="4710"/>
        <n v="19320"/>
        <n v="16764"/>
        <n v="29997"/>
        <n v="42000"/>
        <n v="16591"/>
        <n v="24138"/>
        <n v="5880"/>
        <n v="24366"/>
        <n v="55352"/>
        <n v="37638"/>
        <n v="36946"/>
        <n v="18592"/>
        <n v="18320"/>
        <n v="13981"/>
        <n v="6678"/>
        <n v="4560"/>
        <n v="57450"/>
        <n v="39515"/>
        <n v="28754"/>
        <n v="31931"/>
        <n v="31675"/>
        <n v="6540"/>
        <n v="19232"/>
        <n v="37395"/>
        <n v="8094"/>
        <n v="55080"/>
        <n v="3831"/>
        <n v="36928"/>
        <n v="52499"/>
        <n v="18270"/>
        <n v="2206"/>
        <n v="15345"/>
        <n v="35028"/>
        <n v="8424"/>
        <n v="23088"/>
        <n v="37506"/>
        <n v="45456"/>
        <n v="4563"/>
        <n v="2181"/>
        <n v="46065"/>
        <n v="5275"/>
        <n v="14860"/>
        <n v="23250"/>
        <n v="55200"/>
        <n v="26568"/>
        <n v="5205"/>
        <n v="12943"/>
        <n v="3136"/>
        <n v="56475"/>
        <n v="60720"/>
        <n v="41440"/>
        <n v="20385"/>
        <n v="20559"/>
        <n v="3784"/>
        <n v="24858"/>
        <n v="18896"/>
        <n v="9424"/>
        <n v="17328"/>
        <n v="65600"/>
        <n v="32625"/>
        <n v="12636"/>
        <n v="18170"/>
        <n v="41877"/>
        <n v="5450"/>
        <n v="9050"/>
        <n v="21000"/>
        <n v="7277"/>
        <n v="8880"/>
        <n v="24900"/>
        <n v="25404"/>
        <n v="13598"/>
        <n v="804"/>
        <n v="48350"/>
        <n v="29520"/>
        <n v="19776"/>
        <n v="7582"/>
        <n v="59535"/>
        <n v="3456"/>
        <n v="14036"/>
        <n v="38417"/>
        <n v="1992"/>
        <n v="44592"/>
        <n v="17505"/>
        <n v="16086"/>
        <n v="1450"/>
        <n v="19600"/>
        <n v="4284"/>
        <n v="20240"/>
        <n v="41199"/>
        <n v="26680"/>
        <n v="61042"/>
        <n v="20459"/>
        <n v="41730"/>
        <n v="23664"/>
        <n v="6930"/>
        <n v="32172"/>
        <n v="10287"/>
        <n v="16983"/>
        <n v="16758"/>
        <n v="53148"/>
        <n v="3276"/>
        <n v="18088"/>
        <n v="11800"/>
        <n v="30798"/>
        <n v="59356"/>
        <n v="17556"/>
        <n v="63360"/>
        <n v="5746"/>
        <n v="27638"/>
        <n v="6438"/>
        <n v="49104"/>
        <n v="17825"/>
        <n v="11424"/>
        <n v="4250"/>
        <n v="37521"/>
        <n v="54360"/>
        <n v="36777"/>
        <n v="49896"/>
        <n v="20256"/>
        <n v="5456"/>
        <n v="5988"/>
        <n v="34178"/>
        <n v="42405"/>
        <n v="7011"/>
        <n v="58350"/>
        <n v="2730"/>
        <n v="34020"/>
        <n v="49700"/>
        <n v="13818"/>
        <n v="16399"/>
        <n v="16710"/>
        <n v="17879"/>
        <n v="16464"/>
        <n v="5792"/>
        <n v="53586"/>
        <n v="41200"/>
        <n v="16252"/>
        <n v="14586"/>
        <n v="1140"/>
        <n v="7938"/>
        <n v="13299"/>
        <n v="11200"/>
        <n v="20790"/>
        <n v="7920"/>
        <n v="8560"/>
        <n v="48410"/>
        <n v="30723"/>
        <n v="14192"/>
        <n v="25848"/>
        <n v="1704"/>
        <n v="4844"/>
        <n v="5178"/>
        <n v="23040"/>
        <n v="27192"/>
        <n v="26060"/>
        <n v="30954"/>
        <n v="26796"/>
        <n v="10695"/>
        <n v="38920"/>
        <n v="40984"/>
        <n v="24600"/>
        <n v="10075"/>
        <n v="33697"/>
        <n v="50911"/>
        <n v="4352"/>
        <n v="20895"/>
        <n v="27552"/>
        <n v="1376"/>
        <n v="255"/>
        <n v="5876"/>
        <n v="32799"/>
        <n v="24970"/>
        <n v="3510"/>
        <n v="34520"/>
        <n v="15576"/>
        <n v="13446"/>
        <n v="48132"/>
        <n v="42856"/>
        <n v="25029"/>
        <n v="41004"/>
        <n v="14160"/>
        <n v="15872"/>
        <n v="31868"/>
        <n v="21252"/>
        <n v="52560"/>
        <n v="40000"/>
        <n v="34263"/>
        <n v="58506"/>
        <n v="3159"/>
        <n v="42698"/>
        <n v="35937"/>
        <n v="372"/>
        <n v="33561"/>
        <n v="333"/>
        <n v="53928"/>
        <n v="46414"/>
        <n v="8496"/>
        <n v="41323"/>
        <n v="47610"/>
        <n v="27160"/>
        <n v="35574"/>
        <n v="37710"/>
        <n v="35728"/>
      </sharedItems>
    </cacheField>
    <cacheField name="Tax (18%)" numFmtId="4">
      <sharedItems containsSemiMixedTypes="0" containsString="0" containsNumber="1" minValue="45.9" maxValue="11808"/>
    </cacheField>
    <cacheField name="Shipping Fee" numFmtId="4">
      <sharedItems containsSemiMixedTypes="0" containsString="0" containsNumber="1" containsInteger="1" minValue="51" maxValue="497"/>
    </cacheField>
    <cacheField name="Discount %" numFmtId="165">
      <sharedItems containsSemiMixedTypes="0" containsString="0" containsNumber="1" containsInteger="1" minValue="0" maxValue="20"/>
    </cacheField>
    <cacheField name="Total Net Profit" numFmtId="4">
      <sharedItems containsSemiMixedTypes="0" containsString="0" containsNumber="1" minValue="-251.15" maxValue="49929.440000000002" count="250">
        <n v="14527.48"/>
        <n v="1318.38"/>
        <n v="23365.759999999998"/>
        <n v="3277.43"/>
        <n v="26798.35"/>
        <n v="2307.1"/>
        <n v="17105.72"/>
        <n v="29887.54"/>
        <n v="27773"/>
        <n v="30117.62"/>
        <n v="4562.0400000000009"/>
        <n v="2283.8000000000002"/>
        <n v="18838.16"/>
        <n v="43328.32"/>
        <n v="28569.759999999998"/>
        <n v="11280.16"/>
        <n v="22889.360000000001"/>
        <n v="42002.06"/>
        <n v="23608.400000000001"/>
        <n v="12327.8"/>
        <n v="2320.5"/>
        <n v="31046.28"/>
        <n v="17414.580000000002"/>
        <n v="32013"/>
        <n v="24750.55"/>
        <n v="3362.5"/>
        <n v="19867.43"/>
        <n v="21112.84"/>
        <n v="2304"/>
        <n v="5388.4"/>
        <n v="13584.32"/>
        <n v="3487.8"/>
        <n v="35301.660000000003"/>
        <n v="9149.08"/>
        <n v="28243.080000000009"/>
        <n v="15967.46"/>
        <n v="6764.7999999999993"/>
        <n v="1654.16"/>
        <n v="414.74"/>
        <n v="4215.08"/>
        <n v="23023.919999999998"/>
        <n v="8744.24"/>
        <n v="7525.25"/>
        <n v="3644.2"/>
        <n v="12620.4"/>
        <n v="11798.08"/>
        <n v="20025.990000000002"/>
        <n v="29850"/>
        <n v="10069.42"/>
        <n v="18329.259999999998"/>
        <n v="3357.6"/>
        <n v="19606.12"/>
        <n v="42548.04"/>
        <n v="28678.26"/>
        <n v="24347.82"/>
        <n v="12065.64"/>
        <n v="12143.4"/>
        <n v="8478.2200000000012"/>
        <n v="4681.16"/>
        <n v="2793.2"/>
        <n v="47056"/>
        <n v="24310.3"/>
        <n v="21772.58"/>
        <n v="25690.42"/>
        <n v="23950.75"/>
        <n v="5133.8"/>
        <n v="15656.24"/>
        <n v="26492.400000000001"/>
        <n v="5585.68"/>
        <n v="44680.6"/>
        <n v="2290.2199999999998"/>
        <n v="24267.759999999998"/>
        <n v="37474.28"/>
        <n v="13787.9"/>
        <n v="1357.32"/>
        <n v="9366.9"/>
        <n v="23189.759999999998"/>
        <n v="5773.2800000000007"/>
        <n v="16435.36"/>
        <n v="26564.32"/>
        <n v="32289.32"/>
        <n v="3456.51"/>
        <n v="1238.22"/>
        <n v="30719.55"/>
        <n v="3133.25"/>
        <n v="11179.2"/>
        <n v="15308.5"/>
        <n v="42116"/>
        <n v="20055.36"/>
        <n v="3661.6"/>
        <n v="8290.81"/>
        <n v="1916.92"/>
        <n v="37536.25"/>
        <n v="37479.4"/>
        <n v="31632.799999999999"/>
        <n v="4315.8"/>
        <n v="14211.2"/>
        <n v="14546.48"/>
        <n v="2041.08"/>
        <n v="18733.66"/>
        <n v="13347.12"/>
        <n v="5903.08"/>
        <n v="10387.36"/>
        <n v="47181"/>
        <n v="21418.75"/>
        <n v="7387.3200000000006"/>
        <n v="11790.9"/>
        <n v="34056.14"/>
        <n v="3671"/>
        <n v="5978.5"/>
        <n v="17017"/>
        <n v="4918.4400000000014"/>
        <n v="5332.6"/>
        <n v="16222"/>
        <n v="15483.48"/>
        <n v="8768.66"/>
        <n v="177.88"/>
        <n v="29830"/>
        <n v="21018.400000000001"/>
        <n v="14901.52"/>
        <n v="4998.04"/>
        <n v="39434.449999999997"/>
        <n v="2304.3200000000002"/>
        <n v="9067.1200000000008"/>
        <n v="27539.24"/>
        <n v="1251.8399999999999"/>
        <n v="29576.639999999999"/>
        <n v="13308.85"/>
        <n v="13078.52"/>
        <n v="592"/>
        <n v="14967"/>
        <n v="2591.48"/>
        <n v="16482.8"/>
        <n v="29382.28"/>
        <n v="21394.6"/>
        <n v="49929.440000000002"/>
        <n v="12329.58"/>
        <n v="33833.599999999999"/>
        <n v="15600.88"/>
        <n v="4697.6000000000004"/>
        <n v="22813.84"/>
        <n v="6695.29"/>
        <n v="12912.91"/>
        <n v="9907.9599999999991"/>
        <n v="43141.36"/>
        <n v="1909.12"/>
        <n v="11879.96"/>
        <n v="7127"/>
        <n v="22066.560000000001"/>
        <n v="36638.720000000001"/>
        <n v="13320.12"/>
        <n v="48377.2"/>
        <n v="3760.82"/>
        <n v="19683.36"/>
        <n v="5024.16"/>
        <n v="37721.08"/>
        <n v="13574.25"/>
        <n v="7375.08"/>
        <n v="3280"/>
        <n v="26936.12"/>
        <n v="35966.199999999997"/>
        <n v="22521.74"/>
        <n v="40640.720000000001"/>
        <n v="13174.52"/>
        <n v="3203.72"/>
        <n v="4225.76"/>
        <n v="24153.16"/>
        <n v="34613.1"/>
        <n v="5648.02"/>
        <n v="36035"/>
        <n v="1688.6"/>
        <n v="24345.4"/>
        <n v="33167"/>
        <n v="2310.48"/>
        <n v="9823.9600000000009"/>
        <n v="10746.33"/>
        <n v="11649.2"/>
        <n v="13401.83"/>
        <n v="9941.68"/>
        <n v="4091.8400000000011"/>
        <n v="43767.519999999997"/>
        <n v="31334"/>
        <n v="9827.24"/>
        <n v="10076.92"/>
        <n v="567.79999999999995"/>
        <n v="5246.46"/>
        <n v="7810.38"/>
        <n v="7826"/>
        <n v="13471.3"/>
        <n v="4696.3999999999996"/>
        <n v="4904.2"/>
        <n v="29559.200000000001"/>
        <n v="24795.86"/>
        <n v="10152.24"/>
        <n v="20958.36"/>
        <n v="975.07999999999993"/>
        <n v="2759.48"/>
        <n v="3401.16"/>
        <n v="17285.8"/>
        <n v="16527.04"/>
        <n v="17201.2"/>
        <n v="20513.18"/>
        <n v="21767.72"/>
        <n v="7325.4"/>
        <n v="31561.4"/>
        <n v="25346.080000000002"/>
        <n v="16178"/>
        <n v="6348.25"/>
        <n v="25736.69"/>
        <n v="31391.82"/>
        <n v="3322.64"/>
        <n v="14739.4"/>
        <n v="22419.64"/>
        <n v="537.91999999999996"/>
        <n v="-251.15"/>
        <n v="3310.12"/>
        <n v="23505.279999999999"/>
        <n v="17668.400000000001"/>
        <n v="2401.1999999999998"/>
        <n v="26152.400000000001"/>
        <n v="10142.92"/>
        <n v="9309.1200000000008"/>
        <n v="29493.84"/>
        <n v="35035.919999999998"/>
        <n v="16463.43"/>
        <n v="25128.48"/>
        <n v="9750.2000000000007"/>
        <n v="9638.6400000000012"/>
        <n v="19646.16"/>
        <n v="14886.44"/>
        <n v="40283.199999999997"/>
        <n v="30479"/>
        <n v="22836.21"/>
        <n v="26339.02"/>
        <n v="44564.62"/>
        <n v="1620.53"/>
        <n v="30364.560000000001"/>
        <n v="25655.64"/>
        <n v="119.84"/>
        <n v="27376.02"/>
        <n v="37.11"/>
        <n v="41236.559999999998"/>
        <n v="37858.480000000003"/>
        <n v="6181.92"/>
        <n v="31321.71"/>
        <n v="38566.199999999997"/>
        <n v="20637.2"/>
        <n v="28908.68"/>
        <n v="30871.200000000001"/>
        <n v="29211.96"/>
      </sharedItems>
    </cacheField>
    <cacheField name="Status" numFmtId="0">
      <sharedItems/>
    </cacheField>
    <cacheField name="Customer Rating" numFmtId="0">
      <sharedItems containsSemiMixedTypes="0" containsString="0" containsNumber="1" minValue="3" maxValue="5"/>
    </cacheField>
    <cacheField name="Month" numFmtId="0">
      <sharedItems count="12">
        <s v="November"/>
        <s v="October"/>
        <s v="May"/>
        <s v="February"/>
        <s v="December"/>
        <s v="July"/>
        <s v="August"/>
        <s v="September"/>
        <s v="June"/>
        <s v="March"/>
        <s v="April"/>
        <s v="January"/>
      </sharedItems>
    </cacheField>
    <cacheField name="Monthly Target" numFmtId="4">
      <sharedItems containsSemiMixedTypes="0" containsString="0" containsNumber="1" minValue="12819.36" maxValue="68812.259999999995" count="250">
        <n v="58271.61"/>
        <n v="45501.13"/>
        <n v="45182.03"/>
        <n v="36981.18"/>
        <n v="64677.79"/>
        <n v="13880.18"/>
        <n v="57895.22"/>
        <n v="63317.56"/>
        <n v="40463.550000000003"/>
        <n v="45260.52"/>
        <n v="14951.74"/>
        <n v="14647.38"/>
        <n v="41358.589999999997"/>
        <n v="54900.46"/>
        <n v="56029.99"/>
        <n v="38487.760000000002"/>
        <n v="57986.01"/>
        <n v="52735.53"/>
        <n v="44784.15"/>
        <n v="52408.52"/>
        <n v="44199.61"/>
        <n v="38065.68"/>
        <n v="45362.31"/>
        <n v="50430.74"/>
        <n v="43293.68"/>
        <n v="49535.59"/>
        <n v="48539.34"/>
        <n v="46540.99"/>
        <n v="51137.16"/>
        <n v="54667.76"/>
        <n v="68812.259999999995"/>
        <n v="15154.4"/>
        <n v="49431.3"/>
        <n v="44802.91"/>
        <n v="51582.64"/>
        <n v="68580.81"/>
        <n v="38290.300000000003"/>
        <n v="45737.35"/>
        <n v="56311.46"/>
        <n v="35929.74"/>
        <n v="43502.07"/>
        <n v="41145.01"/>
        <n v="17173"/>
        <n v="16997.599999999999"/>
        <n v="15721.35"/>
        <n v="51667.12"/>
        <n v="42849.56"/>
        <n v="59527.08"/>
        <n v="16438.509999999998"/>
        <n v="34973.919999999998"/>
        <n v="14664.39"/>
        <n v="35032.230000000003"/>
        <n v="56576.52"/>
        <n v="51102.02"/>
        <n v="37956.370000000003"/>
        <n v="60421.24"/>
        <n v="13653.57"/>
        <n v="16292.47"/>
        <n v="12999.3"/>
        <n v="36537.22"/>
        <n v="46363.65"/>
        <n v="48561.01"/>
        <n v="64748.31"/>
        <n v="47807.13"/>
        <n v="63509.98"/>
        <n v="56332.99"/>
        <n v="53356.68"/>
        <n v="44367.15"/>
        <n v="15448.51"/>
        <n v="64449.98"/>
        <n v="61944.62"/>
        <n v="58349.39"/>
        <n v="43947.25"/>
        <n v="44654.94"/>
        <n v="45112.03"/>
        <n v="13549.4"/>
        <n v="44682.67"/>
        <n v="13684.11"/>
        <n v="15274.35"/>
        <n v="43246.81"/>
        <n v="43575.59"/>
        <n v="16557.560000000001"/>
        <n v="35406.559999999998"/>
        <n v="65802.27"/>
        <n v="45289.279999999999"/>
        <n v="34868.67"/>
        <n v="37452.57"/>
        <n v="61542.47"/>
        <n v="34572.129999999997"/>
        <n v="13723.45"/>
        <n v="14545.95"/>
        <n v="43868.41"/>
        <n v="58189.38"/>
        <n v="58453.17"/>
        <n v="57677.58"/>
        <n v="43889.96"/>
        <n v="16708.060000000001"/>
        <n v="56345.54"/>
        <n v="53324.9"/>
        <n v="58174.44"/>
        <n v="58991.53"/>
        <n v="56605.54"/>
        <n v="52315.01"/>
        <n v="62760.55"/>
        <n v="47159.85"/>
        <n v="55613.45"/>
        <n v="15993.26"/>
        <n v="54934.87"/>
        <n v="54639.11"/>
        <n v="15784.34"/>
        <n v="36996.65"/>
        <n v="14083.7"/>
        <n v="43018.080000000002"/>
        <n v="34961.53"/>
        <n v="39253.79"/>
        <n v="56957.1"/>
        <n v="13902.96"/>
        <n v="50047.26"/>
        <n v="44886.47"/>
        <n v="16685.669999999998"/>
        <n v="16296.92"/>
        <n v="60598.39"/>
        <n v="16934.240000000002"/>
        <n v="13905.76"/>
        <n v="44578.95"/>
        <n v="14592"/>
        <n v="52373.26"/>
        <n v="15499.52"/>
        <n v="14020.31"/>
        <n v="42138.91"/>
        <n v="61876.98"/>
        <n v="17192.82"/>
        <n v="63002.07"/>
        <n v="58920.959999999999"/>
        <n v="57836.84"/>
        <n v="66974.66"/>
        <n v="14304.22"/>
        <n v="52505.919999999998"/>
        <n v="42332.05"/>
        <n v="17090.91"/>
        <n v="54478.99"/>
        <n v="15742.55"/>
        <n v="13522.46"/>
        <n v="15630.29"/>
        <n v="62829"/>
        <n v="16093.57"/>
        <n v="66592.97"/>
        <n v="55162.26"/>
        <n v="55407.58"/>
        <n v="57219.65"/>
        <n v="58198.21"/>
        <n v="53021.98"/>
        <n v="15142.87"/>
        <n v="42519.39"/>
        <n v="47158.02"/>
        <n v="52584.51"/>
        <n v="42970.54"/>
        <n v="36008.32"/>
        <n v="16281.92"/>
        <n v="58994.1"/>
        <n v="54695.34"/>
        <n v="42982.92"/>
        <n v="64300.66"/>
        <n v="39616.29"/>
        <n v="15139.64"/>
        <n v="41437.65"/>
        <n v="41580.339999999997"/>
        <n v="64770.75"/>
        <n v="43227.23"/>
        <n v="54605.120000000003"/>
        <n v="34247.410000000003"/>
        <n v="44077.27"/>
        <n v="47112.52"/>
        <n v="40966.129999999997"/>
        <n v="17075.12"/>
        <n v="39001.279999999999"/>
        <n v="57646.080000000002"/>
        <n v="40686.74"/>
        <n v="68069.63"/>
        <n v="41056.14"/>
        <n v="56313.11"/>
        <n v="53849.95"/>
        <n v="17213.189999999999"/>
        <n v="54404.29"/>
        <n v="14543.01"/>
        <n v="45083.79"/>
        <n v="14823.7"/>
        <n v="13328.11"/>
        <n v="44459.95"/>
        <n v="59037.87"/>
        <n v="16576"/>
        <n v="53027.61"/>
        <n v="48772.45"/>
        <n v="45451.98"/>
        <n v="45182.51"/>
        <n v="13875.75"/>
        <n v="13981.1"/>
        <n v="40871.96"/>
        <n v="44677.16"/>
        <n v="48239.81"/>
        <n v="65879.98"/>
        <n v="45243.38"/>
        <n v="39750.080000000002"/>
        <n v="16768.18"/>
        <n v="44671.19"/>
        <n v="39716.239999999998"/>
        <n v="13512.67"/>
        <n v="13086.35"/>
        <n v="46093.599999999999"/>
        <n v="49398.080000000002"/>
        <n v="12819.36"/>
        <n v="37956.959999999999"/>
        <n v="49911.86"/>
        <n v="14260.88"/>
        <n v="16051.77"/>
        <n v="15313.28"/>
        <n v="50495.18"/>
        <n v="52002.61"/>
        <n v="61493"/>
        <n v="38967.269999999997"/>
        <n v="13496.93"/>
        <n v="15396.64"/>
        <n v="43212.33"/>
        <n v="43042.12"/>
        <n v="47635.85"/>
        <n v="55139.21"/>
        <n v="16149.84"/>
        <n v="44877.75"/>
        <n v="49086.22"/>
        <n v="52933.06"/>
        <n v="48765.760000000002"/>
        <n v="43664.25"/>
        <n v="53109.01"/>
        <n v="36062.04"/>
        <n v="55958.84"/>
        <n v="47977.53"/>
        <n v="61074.62"/>
        <n v="45473.599999999999"/>
        <n v="15265.5"/>
        <n v="53027.29"/>
        <n v="15686.69"/>
        <n v="65673.64"/>
        <n v="43721.95"/>
        <n v="42134.49"/>
        <n v="53371.22"/>
        <n v="54876.09"/>
        <n v="35802.370000000003"/>
        <n v="43797.63"/>
        <n v="64665.31"/>
        <n v="62639.02"/>
      </sharedItems>
    </cacheField>
    <cacheField name="Profit Margin %" numFmtId="166">
      <sharedItems containsSemiMixedTypes="0" containsString="0" containsNumber="1" minValue="-98.49" maxValue="81.91" count="236">
        <n v="74.790000000000006"/>
        <n v="73.489999999999995"/>
        <n v="81.22"/>
        <n v="62.68"/>
        <n v="65.84"/>
        <n v="75.52"/>
        <n v="71.349999999999994"/>
        <n v="61.41"/>
        <n v="76.3"/>
        <n v="76.040000000000006"/>
        <n v="58.55"/>
        <n v="55.16"/>
        <n v="65.989999999999995"/>
        <n v="71.67"/>
        <n v="61.78"/>
        <n v="60.1"/>
        <n v="75.87"/>
        <n v="76.400000000000006"/>
        <n v="70.849999999999994"/>
        <n v="79.84"/>
        <n v="63.58"/>
        <n v="76.16"/>
        <n v="80.930000000000007"/>
        <n v="80.84"/>
        <n v="76.12"/>
        <n v="54.9"/>
        <n v="66.83"/>
        <n v="66.489999999999995"/>
        <n v="51.2"/>
        <n v="75.150000000000006"/>
        <n v="60.82"/>
        <n v="69.2"/>
        <n v="70.17"/>
        <n v="61.15"/>
        <n v="81.040000000000006"/>
        <n v="57.87"/>
        <n v="64.790000000000006"/>
        <n v="45.73"/>
        <n v="64.959999999999994"/>
        <n v="71.2"/>
        <n v="79.989999999999995"/>
        <n v="65.58"/>
        <n v="77.37"/>
        <n v="65.319999999999993"/>
        <n v="70.38"/>
        <n v="66.760000000000005"/>
        <n v="71.069999999999993"/>
        <n v="60.69"/>
        <n v="75.94"/>
        <n v="57.1"/>
        <n v="80.47"/>
        <n v="76.87"/>
        <n v="76.19"/>
        <n v="65.900000000000006"/>
        <n v="64.900000000000006"/>
        <n v="66.28"/>
        <n v="60.64"/>
        <n v="70.099999999999994"/>
        <n v="61.25"/>
        <n v="81.91"/>
        <n v="61.52"/>
        <n v="75.72"/>
        <n v="80.459999999999994"/>
        <n v="75.61"/>
        <n v="78.5"/>
        <n v="81.41"/>
        <n v="70.84"/>
        <n v="69.010000000000005"/>
        <n v="81.12"/>
        <n v="59.78"/>
        <n v="65.72"/>
        <n v="71.38"/>
        <n v="75.47"/>
        <n v="61.53"/>
        <n v="61.04"/>
        <n v="66.2"/>
        <n v="68.53"/>
        <n v="71.19"/>
        <n v="70.83"/>
        <n v="71.03"/>
        <n v="75.75"/>
        <n v="56.77"/>
        <n v="66.69"/>
        <n v="59.4"/>
        <n v="75.23"/>
        <n v="75.489999999999995"/>
        <n v="70.349999999999994"/>
        <n v="64.06"/>
        <n v="61.13"/>
        <n v="66.47"/>
        <n v="61.72"/>
        <n v="76.33"/>
        <n v="69.709999999999994"/>
        <n v="70.75"/>
        <n v="53.94"/>
        <n v="75.36"/>
        <n v="70.63"/>
        <n v="62.64"/>
        <n v="59.95"/>
        <n v="71.92"/>
        <n v="65.650000000000006"/>
        <n v="58.46"/>
        <n v="64.89"/>
        <n v="81.319999999999993"/>
        <n v="67.36"/>
        <n v="66.06"/>
        <n v="81.03"/>
        <n v="67.59"/>
        <n v="60.05"/>
        <n v="65.150000000000006"/>
        <n v="60.95"/>
        <n v="64.48"/>
        <n v="22.12"/>
        <n v="61.7"/>
        <n v="75.349999999999994"/>
        <n v="65.92"/>
        <n v="66.239999999999995"/>
        <n v="66.680000000000007"/>
        <n v="64.599999999999994"/>
        <n v="71.69"/>
        <n v="62.84"/>
        <n v="66.33"/>
        <n v="76.03"/>
        <n v="81.3"/>
        <n v="40.83"/>
        <n v="76.36"/>
        <n v="60.49"/>
        <n v="81.44"/>
        <n v="71.319999999999993"/>
        <n v="80.19"/>
        <n v="81.8"/>
        <n v="60.26"/>
        <n v="81.08"/>
        <n v="65.930000000000007"/>
        <n v="67.790000000000006"/>
        <n v="70.91"/>
        <n v="65.08"/>
        <n v="59.12"/>
        <n v="81.17"/>
        <n v="58.28"/>
        <n v="65.680000000000007"/>
        <n v="60.4"/>
        <n v="71.650000000000006"/>
        <n v="61.73"/>
        <n v="76.349999999999994"/>
        <n v="65.45"/>
        <n v="71.22"/>
        <n v="78.040000000000006"/>
        <n v="76.819999999999993"/>
        <n v="76.150000000000006"/>
        <n v="64.56"/>
        <n v="77.180000000000007"/>
        <n v="71.790000000000006"/>
        <n v="66.16"/>
        <n v="61.24"/>
        <n v="81.45"/>
        <n v="65.040000000000006"/>
        <n v="58.72"/>
        <n v="70.569999999999993"/>
        <n v="70.67"/>
        <n v="81.63"/>
        <n v="80.56"/>
        <n v="61.76"/>
        <n v="61.85"/>
        <n v="71.56"/>
        <n v="66.73"/>
        <n v="61.06"/>
        <n v="71.099999999999994"/>
        <n v="65.53"/>
        <n v="74.959999999999994"/>
        <n v="60.38"/>
        <n v="70.650000000000006"/>
        <n v="81.680000000000007"/>
        <n v="76.05"/>
        <n v="60.47"/>
        <n v="69.09"/>
        <n v="49.81"/>
        <n v="66.09"/>
        <n v="58.73"/>
        <n v="69.88"/>
        <n v="64.8"/>
        <n v="59.3"/>
        <n v="57.29"/>
        <n v="80.709999999999994"/>
        <n v="71.53"/>
        <n v="57.22"/>
        <n v="56.97"/>
        <n v="75.03"/>
        <n v="60.78"/>
        <n v="66.010000000000005"/>
        <n v="66.27"/>
        <n v="81.23"/>
        <n v="68.489999999999995"/>
        <n v="81.09"/>
        <n v="61.84"/>
        <n v="65.760000000000005"/>
        <n v="63.01"/>
        <n v="76.38"/>
        <n v="61.66"/>
        <n v="70.540000000000006"/>
        <n v="81.37"/>
        <n v="39.090000000000003"/>
        <n v="-98.49"/>
        <n v="56.33"/>
        <n v="71.66"/>
        <n v="70.760000000000005"/>
        <n v="68.41"/>
        <n v="75.760000000000005"/>
        <n v="65.12"/>
        <n v="69.23"/>
        <n v="61.28"/>
        <n v="81.75"/>
        <n v="65.78"/>
        <n v="68.86"/>
        <n v="60.73"/>
        <n v="61.65"/>
        <n v="70.05"/>
        <n v="76.64"/>
        <n v="76.2"/>
        <n v="66.650000000000006"/>
        <n v="66.5"/>
        <n v="76.17"/>
        <n v="51.3"/>
        <n v="71.11"/>
        <n v="71.39"/>
        <n v="32.22"/>
        <n v="81.569999999999993"/>
        <n v="11.14"/>
        <n v="76.47"/>
        <n v="72.760000000000005"/>
        <n v="75.8"/>
        <n v="81"/>
        <n v="75.98"/>
        <n v="81.260000000000005"/>
        <n v="81.86"/>
        <n v="81.760000000000005"/>
      </sharedItems>
    </cacheField>
  </cacheFields>
  <extLst>
    <ext xmlns:x14="http://schemas.microsoft.com/office/spreadsheetml/2009/9/main" uri="{725AE2AE-9491-48be-B2B4-4EB974FC3084}">
      <x14:pivotCacheDefinition pivotCacheId="163665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1001"/>
    <d v="2025-11-24T00:00:00"/>
    <x v="0"/>
    <x v="0"/>
    <x v="0"/>
    <n v="16"/>
    <n v="1214"/>
    <x v="0"/>
    <n v="3496.32"/>
    <n v="429"/>
    <n v="5"/>
    <x v="0"/>
    <s v="Cancelled"/>
    <n v="3.2"/>
    <x v="0"/>
    <x v="0"/>
    <x v="0"/>
  </r>
  <r>
    <s v="ORD-1002"/>
    <d v="2025-10-07T00:00:00"/>
    <x v="0"/>
    <x v="1"/>
    <x v="1"/>
    <n v="2"/>
    <n v="897"/>
    <x v="1"/>
    <n v="322.92"/>
    <n v="63"/>
    <n v="5"/>
    <x v="1"/>
    <s v="Shipped"/>
    <n v="4"/>
    <x v="1"/>
    <x v="1"/>
    <x v="1"/>
  </r>
  <r>
    <s v="ORD-1003"/>
    <d v="2025-10-15T00:00:00"/>
    <x v="1"/>
    <x v="1"/>
    <x v="2"/>
    <n v="29"/>
    <n v="992"/>
    <x v="2"/>
    <n v="5178.24"/>
    <n v="224"/>
    <n v="0"/>
    <x v="2"/>
    <s v="Shipped"/>
    <n v="4.4000000000000004"/>
    <x v="1"/>
    <x v="2"/>
    <x v="2"/>
  </r>
  <r>
    <s v="ORD-1004"/>
    <d v="2025-05-23T00:00:00"/>
    <x v="1"/>
    <x v="2"/>
    <x v="3"/>
    <n v="7"/>
    <n v="747"/>
    <x v="3"/>
    <n v="941.21999999999991"/>
    <n v="226"/>
    <n v="15"/>
    <x v="3"/>
    <s v="Shipped"/>
    <n v="3.7"/>
    <x v="2"/>
    <x v="3"/>
    <x v="3"/>
  </r>
  <r>
    <s v="ORD-1005"/>
    <d v="2025-11-06T00:00:00"/>
    <x v="2"/>
    <x v="0"/>
    <x v="4"/>
    <n v="35"/>
    <n v="1163"/>
    <x v="4"/>
    <n v="7326.9"/>
    <n v="474"/>
    <n v="15"/>
    <x v="4"/>
    <s v="Shipped"/>
    <n v="4.0999999999999996"/>
    <x v="0"/>
    <x v="4"/>
    <x v="4"/>
  </r>
  <r>
    <s v="ORD-1006"/>
    <d v="2025-11-18T00:00:00"/>
    <x v="3"/>
    <x v="3"/>
    <x v="5"/>
    <n v="13"/>
    <n v="235"/>
    <x v="5"/>
    <n v="549.9"/>
    <n v="198"/>
    <n v="0"/>
    <x v="5"/>
    <s v="Cancelled"/>
    <n v="3.5"/>
    <x v="0"/>
    <x v="5"/>
    <x v="5"/>
  </r>
  <r>
    <s v="ORD-1007"/>
    <d v="2025-02-10T00:00:00"/>
    <x v="1"/>
    <x v="0"/>
    <x v="6"/>
    <n v="18"/>
    <n v="1332"/>
    <x v="6"/>
    <n v="4315.68"/>
    <n v="157"/>
    <n v="10"/>
    <x v="6"/>
    <s v="Shipped"/>
    <n v="3.7"/>
    <x v="3"/>
    <x v="6"/>
    <x v="6"/>
  </r>
  <r>
    <s v="ORD-1008"/>
    <d v="2025-12-10T00:00:00"/>
    <x v="2"/>
    <x v="0"/>
    <x v="5"/>
    <n v="41"/>
    <n v="1187"/>
    <x v="7"/>
    <n v="8760.06"/>
    <n v="286"/>
    <n v="20"/>
    <x v="7"/>
    <s v="Cancelled"/>
    <n v="3.5"/>
    <x v="4"/>
    <x v="7"/>
    <x v="7"/>
  </r>
  <r>
    <s v="ORD-1009"/>
    <d v="2025-07-14T00:00:00"/>
    <x v="2"/>
    <x v="2"/>
    <x v="3"/>
    <n v="50"/>
    <n v="728"/>
    <x v="8"/>
    <n v="6552"/>
    <n v="255"/>
    <n v="5"/>
    <x v="8"/>
    <s v="Shipped"/>
    <n v="4.5999999999999996"/>
    <x v="5"/>
    <x v="8"/>
    <x v="8"/>
  </r>
  <r>
    <s v="ORD-1010"/>
    <d v="2025-05-18T00:00:00"/>
    <x v="0"/>
    <x v="2"/>
    <x v="5"/>
    <n v="46"/>
    <n v="861"/>
    <x v="9"/>
    <n v="7129.08"/>
    <n v="379"/>
    <n v="5"/>
    <x v="9"/>
    <s v="Cancelled"/>
    <n v="4"/>
    <x v="2"/>
    <x v="9"/>
    <x v="9"/>
  </r>
  <r>
    <s v="ORD-1011"/>
    <d v="2025-08-23T00:00:00"/>
    <x v="1"/>
    <x v="3"/>
    <x v="7"/>
    <n v="16"/>
    <n v="487"/>
    <x v="10"/>
    <n v="1402.56"/>
    <n v="269"/>
    <n v="20"/>
    <x v="10"/>
    <s v="In-Progress"/>
    <n v="4.5"/>
    <x v="6"/>
    <x v="10"/>
    <x v="10"/>
  </r>
  <r>
    <s v="ORD-1012"/>
    <d v="2025-10-26T00:00:00"/>
    <x v="4"/>
    <x v="3"/>
    <x v="2"/>
    <n v="9"/>
    <n v="460"/>
    <x v="11"/>
    <n v="745.19999999999993"/>
    <n v="490"/>
    <n v="15"/>
    <x v="11"/>
    <s v="Shipped"/>
    <n v="4.5"/>
    <x v="1"/>
    <x v="11"/>
    <x v="11"/>
  </r>
  <r>
    <s v="ORD-1013"/>
    <d v="2025-02-26T00:00:00"/>
    <x v="1"/>
    <x v="2"/>
    <x v="6"/>
    <n v="39"/>
    <n v="732"/>
    <x v="12"/>
    <n v="5138.6399999999994"/>
    <n v="289"/>
    <n v="15"/>
    <x v="12"/>
    <s v="In-Progress"/>
    <n v="4.2"/>
    <x v="3"/>
    <x v="12"/>
    <x v="12"/>
  </r>
  <r>
    <s v="ORD-1014"/>
    <d v="2025-09-28T00:00:00"/>
    <x v="2"/>
    <x v="0"/>
    <x v="8"/>
    <n v="44"/>
    <n v="1374"/>
    <x v="13"/>
    <n v="10882.08"/>
    <n v="200"/>
    <n v="10"/>
    <x v="13"/>
    <s v="Cancelled"/>
    <n v="3.7"/>
    <x v="7"/>
    <x v="13"/>
    <x v="13"/>
  </r>
  <r>
    <s v="ORD-1015"/>
    <d v="2025-08-11T00:00:00"/>
    <x v="1"/>
    <x v="1"/>
    <x v="1"/>
    <n v="47"/>
    <n v="984"/>
    <x v="14"/>
    <n v="8324.64"/>
    <n v="104"/>
    <n v="20"/>
    <x v="14"/>
    <s v="Shipped"/>
    <n v="4"/>
    <x v="6"/>
    <x v="14"/>
    <x v="14"/>
  </r>
  <r>
    <s v="ORD-1016"/>
    <d v="2025-11-17T00:00:00"/>
    <x v="2"/>
    <x v="2"/>
    <x v="7"/>
    <n v="24"/>
    <n v="782"/>
    <x v="15"/>
    <n v="3378.24"/>
    <n v="356"/>
    <n v="20"/>
    <x v="15"/>
    <s v="Cancelled"/>
    <n v="4.8"/>
    <x v="0"/>
    <x v="15"/>
    <x v="15"/>
  </r>
  <r>
    <s v="ORD-1017"/>
    <d v="2025-06-15T00:00:00"/>
    <x v="4"/>
    <x v="0"/>
    <x v="8"/>
    <n v="24"/>
    <n v="1257"/>
    <x v="16"/>
    <n v="5430.24"/>
    <n v="340"/>
    <n v="5"/>
    <x v="16"/>
    <s v="Shipped"/>
    <n v="3.5"/>
    <x v="8"/>
    <x v="16"/>
    <x v="16"/>
  </r>
  <r>
    <s v="ORD-1018"/>
    <d v="2025-02-10T00:00:00"/>
    <x v="0"/>
    <x v="1"/>
    <x v="8"/>
    <n v="49"/>
    <n v="1122"/>
    <x v="17"/>
    <n v="9896.0399999999991"/>
    <n v="331"/>
    <n v="5"/>
    <x v="17"/>
    <s v="Shipped"/>
    <n v="4.3"/>
    <x v="3"/>
    <x v="17"/>
    <x v="17"/>
  </r>
  <r>
    <s v="ORD-1019"/>
    <d v="2025-03-26T00:00:00"/>
    <x v="2"/>
    <x v="1"/>
    <x v="2"/>
    <n v="35"/>
    <n v="952"/>
    <x v="18"/>
    <n v="5997.5999999999995"/>
    <n v="382"/>
    <n v="10"/>
    <x v="18"/>
    <s v="In-Progress"/>
    <n v="5"/>
    <x v="9"/>
    <x v="18"/>
    <x v="18"/>
  </r>
  <r>
    <s v="ORD-1020"/>
    <d v="2025-07-11T00:00:00"/>
    <x v="4"/>
    <x v="1"/>
    <x v="8"/>
    <n v="16"/>
    <n v="965"/>
    <x v="19"/>
    <n v="2779.2"/>
    <n v="333"/>
    <n v="0"/>
    <x v="19"/>
    <s v="In-Progress"/>
    <n v="3"/>
    <x v="5"/>
    <x v="19"/>
    <x v="19"/>
  </r>
  <r>
    <s v="ORD-1021"/>
    <d v="2025-04-28T00:00:00"/>
    <x v="3"/>
    <x v="2"/>
    <x v="1"/>
    <n v="5"/>
    <n v="730"/>
    <x v="20"/>
    <n v="657"/>
    <n v="490"/>
    <n v="5"/>
    <x v="20"/>
    <s v="Shipped"/>
    <n v="4.8"/>
    <x v="10"/>
    <x v="20"/>
    <x v="20"/>
  </r>
  <r>
    <s v="ORD-1022"/>
    <d v="2025-06-19T00:00:00"/>
    <x v="0"/>
    <x v="2"/>
    <x v="0"/>
    <n v="43"/>
    <n v="948"/>
    <x v="21"/>
    <n v="7337.52"/>
    <n v="342"/>
    <n v="5"/>
    <x v="21"/>
    <s v="Cancelled"/>
    <n v="3.3"/>
    <x v="8"/>
    <x v="21"/>
    <x v="21"/>
  </r>
  <r>
    <s v="ORD-1023"/>
    <d v="2025-10-23T00:00:00"/>
    <x v="4"/>
    <x v="2"/>
    <x v="4"/>
    <n v="27"/>
    <n v="797"/>
    <x v="22"/>
    <n v="3873.42"/>
    <n v="231"/>
    <n v="0"/>
    <x v="22"/>
    <s v="Shipped"/>
    <n v="4.3"/>
    <x v="1"/>
    <x v="22"/>
    <x v="22"/>
  </r>
  <r>
    <s v="ORD-1024"/>
    <d v="2025-08-05T00:00:00"/>
    <x v="4"/>
    <x v="1"/>
    <x v="1"/>
    <n v="44"/>
    <n v="900"/>
    <x v="23"/>
    <n v="7128"/>
    <n v="459"/>
    <n v="0"/>
    <x v="23"/>
    <s v="In-Progress"/>
    <n v="4.5"/>
    <x v="6"/>
    <x v="23"/>
    <x v="23"/>
  </r>
  <r>
    <s v="ORD-1025"/>
    <d v="2025-02-25T00:00:00"/>
    <x v="1"/>
    <x v="2"/>
    <x v="2"/>
    <n v="35"/>
    <n v="929"/>
    <x v="24"/>
    <n v="5852.7"/>
    <n v="286"/>
    <n v="5"/>
    <x v="24"/>
    <s v="In-Progress"/>
    <n v="3.4"/>
    <x v="3"/>
    <x v="24"/>
    <x v="24"/>
  </r>
  <r>
    <s v="ORD-1026"/>
    <d v="2025-05-08T00:00:00"/>
    <x v="0"/>
    <x v="1"/>
    <x v="9"/>
    <n v="7"/>
    <n v="875"/>
    <x v="25"/>
    <n v="1102.5"/>
    <n v="435"/>
    <n v="20"/>
    <x v="25"/>
    <s v="Shipped"/>
    <n v="4.9000000000000004"/>
    <x v="2"/>
    <x v="25"/>
    <x v="25"/>
  </r>
  <r>
    <s v="ORD-1027"/>
    <d v="2025-05-02T00:00:00"/>
    <x v="1"/>
    <x v="1"/>
    <x v="4"/>
    <n v="31"/>
    <n v="959"/>
    <x v="26"/>
    <n v="5351.22"/>
    <n v="51"/>
    <n v="15"/>
    <x v="26"/>
    <s v="Shipped"/>
    <n v="3.3"/>
    <x v="2"/>
    <x v="26"/>
    <x v="26"/>
  </r>
  <r>
    <s v="ORD-1028"/>
    <d v="2025-07-19T00:00:00"/>
    <x v="2"/>
    <x v="1"/>
    <x v="0"/>
    <n v="28"/>
    <n v="1134"/>
    <x v="27"/>
    <n v="5715.36"/>
    <n v="161"/>
    <n v="15"/>
    <x v="27"/>
    <s v="Shipped"/>
    <n v="3.4"/>
    <x v="5"/>
    <x v="27"/>
    <x v="27"/>
  </r>
  <r>
    <s v="ORD-1029"/>
    <d v="2025-01-30T00:00:00"/>
    <x v="3"/>
    <x v="0"/>
    <x v="3"/>
    <n v="4"/>
    <n v="1125"/>
    <x v="28"/>
    <n v="810"/>
    <n v="486"/>
    <n v="20"/>
    <x v="28"/>
    <s v="In-Progress"/>
    <n v="4"/>
    <x v="11"/>
    <x v="28"/>
    <x v="28"/>
  </r>
  <r>
    <s v="ORD-1030"/>
    <d v="2025-09-29T00:00:00"/>
    <x v="1"/>
    <x v="0"/>
    <x v="9"/>
    <n v="6"/>
    <n v="1195"/>
    <x v="29"/>
    <n v="1290.5999999999999"/>
    <n v="491"/>
    <n v="0"/>
    <x v="29"/>
    <s v="Cancelled"/>
    <n v="3.1"/>
    <x v="7"/>
    <x v="29"/>
    <x v="29"/>
  </r>
  <r>
    <s v="ORD-1031"/>
    <d v="2025-05-01T00:00:00"/>
    <x v="4"/>
    <x v="0"/>
    <x v="5"/>
    <n v="16"/>
    <n v="1396"/>
    <x v="30"/>
    <n v="4020.48"/>
    <n v="264"/>
    <n v="20"/>
    <x v="30"/>
    <s v="Shipped"/>
    <n v="4.2"/>
    <x v="2"/>
    <x v="30"/>
    <x v="30"/>
  </r>
  <r>
    <s v="ORD-1032"/>
    <d v="2025-12-03T00:00:00"/>
    <x v="3"/>
    <x v="3"/>
    <x v="0"/>
    <n v="14"/>
    <n v="360"/>
    <x v="31"/>
    <n v="907.19999999999993"/>
    <n v="393"/>
    <n v="5"/>
    <x v="31"/>
    <s v="In-Progress"/>
    <n v="3.8"/>
    <x v="4"/>
    <x v="31"/>
    <x v="31"/>
  </r>
  <r>
    <s v="ORD-1033"/>
    <d v="2025-11-27T00:00:00"/>
    <x v="2"/>
    <x v="1"/>
    <x v="3"/>
    <n v="49"/>
    <n v="887"/>
    <x v="32"/>
    <n v="7823.34"/>
    <n v="338"/>
    <n v="0"/>
    <x v="32"/>
    <s v="In-Progress"/>
    <n v="4.2"/>
    <x v="0"/>
    <x v="32"/>
    <x v="2"/>
  </r>
  <r>
    <s v="ORD-1034"/>
    <d v="2025-02-21T00:00:00"/>
    <x v="0"/>
    <x v="2"/>
    <x v="9"/>
    <n v="17"/>
    <n v="767"/>
    <x v="33"/>
    <n v="2347.02"/>
    <n v="239"/>
    <n v="10"/>
    <x v="33"/>
    <s v="Shipped"/>
    <n v="4.8"/>
    <x v="3"/>
    <x v="33"/>
    <x v="32"/>
  </r>
  <r>
    <s v="ORD-1035"/>
    <d v="2025-05-26T00:00:00"/>
    <x v="1"/>
    <x v="1"/>
    <x v="9"/>
    <n v="46"/>
    <n v="1004"/>
    <x v="34"/>
    <n v="8313.119999999999"/>
    <n v="391"/>
    <n v="20"/>
    <x v="34"/>
    <s v="Cancelled"/>
    <n v="4.0999999999999996"/>
    <x v="2"/>
    <x v="34"/>
    <x v="33"/>
  </r>
  <r>
    <s v="ORD-1036"/>
    <d v="2025-10-11T00:00:00"/>
    <x v="2"/>
    <x v="0"/>
    <x v="7"/>
    <n v="17"/>
    <n v="1159"/>
    <x v="35"/>
    <n v="3546.54"/>
    <n v="189"/>
    <n v="0"/>
    <x v="35"/>
    <s v="Cancelled"/>
    <n v="4.0999999999999996"/>
    <x v="1"/>
    <x v="35"/>
    <x v="34"/>
  </r>
  <r>
    <s v="ORD-1037"/>
    <d v="2025-05-25T00:00:00"/>
    <x v="3"/>
    <x v="2"/>
    <x v="3"/>
    <n v="14"/>
    <n v="835"/>
    <x v="36"/>
    <n v="2104.1999999999998"/>
    <n v="483"/>
    <n v="20"/>
    <x v="36"/>
    <s v="In-Progress"/>
    <n v="3.5"/>
    <x v="2"/>
    <x v="36"/>
    <x v="35"/>
  </r>
  <r>
    <s v="ORD-1038"/>
    <d v="2025-01-27T00:00:00"/>
    <x v="0"/>
    <x v="1"/>
    <x v="0"/>
    <n v="3"/>
    <n v="851"/>
    <x v="37"/>
    <n v="459.54"/>
    <n v="184"/>
    <n v="10"/>
    <x v="37"/>
    <s v="Shipped"/>
    <n v="4.3"/>
    <x v="11"/>
    <x v="37"/>
    <x v="36"/>
  </r>
  <r>
    <s v="ORD-1039"/>
    <d v="2025-03-24T00:00:00"/>
    <x v="4"/>
    <x v="1"/>
    <x v="9"/>
    <n v="1"/>
    <n v="907"/>
    <x v="38"/>
    <n v="163.26"/>
    <n v="329"/>
    <n v="0"/>
    <x v="38"/>
    <s v="Cancelled"/>
    <n v="4.8"/>
    <x v="9"/>
    <x v="38"/>
    <x v="37"/>
  </r>
  <r>
    <s v="ORD-1040"/>
    <d v="2025-01-19T00:00:00"/>
    <x v="2"/>
    <x v="2"/>
    <x v="6"/>
    <n v="9"/>
    <n v="721"/>
    <x v="39"/>
    <n v="1168.02"/>
    <n v="457"/>
    <n v="10"/>
    <x v="39"/>
    <s v="In-Progress"/>
    <n v="4.8"/>
    <x v="11"/>
    <x v="39"/>
    <x v="38"/>
  </r>
  <r>
    <s v="ORD-1041"/>
    <d v="2025-01-21T00:00:00"/>
    <x v="2"/>
    <x v="2"/>
    <x v="2"/>
    <n v="43"/>
    <n v="752"/>
    <x v="40"/>
    <n v="5820.48"/>
    <n v="258"/>
    <n v="10"/>
    <x v="40"/>
    <s v="Cancelled"/>
    <n v="4.8"/>
    <x v="11"/>
    <x v="40"/>
    <x v="39"/>
  </r>
  <r>
    <s v="ORD-1042"/>
    <d v="2025-11-14T00:00:00"/>
    <x v="1"/>
    <x v="2"/>
    <x v="7"/>
    <n v="12"/>
    <n v="911"/>
    <x v="41"/>
    <n v="1967.76"/>
    <n v="220"/>
    <n v="0"/>
    <x v="41"/>
    <s v="Shipped"/>
    <n v="4.5"/>
    <x v="0"/>
    <x v="41"/>
    <x v="40"/>
  </r>
  <r>
    <s v="ORD-1043"/>
    <d v="2025-07-30T00:00:00"/>
    <x v="1"/>
    <x v="3"/>
    <x v="7"/>
    <n v="45"/>
    <n v="255"/>
    <x v="42"/>
    <n v="2065.5"/>
    <n v="163"/>
    <n v="15"/>
    <x v="42"/>
    <s v="Shipped"/>
    <n v="4.7"/>
    <x v="5"/>
    <x v="42"/>
    <x v="41"/>
  </r>
  <r>
    <s v="ORD-1044"/>
    <d v="2025-04-13T00:00:00"/>
    <x v="4"/>
    <x v="3"/>
    <x v="0"/>
    <n v="15"/>
    <n v="314"/>
    <x v="43"/>
    <n v="847.8"/>
    <n v="218"/>
    <n v="0"/>
    <x v="43"/>
    <s v="Cancelled"/>
    <n v="3.4"/>
    <x v="10"/>
    <x v="43"/>
    <x v="42"/>
  </r>
  <r>
    <s v="ORD-1045"/>
    <d v="2025-05-23T00:00:00"/>
    <x v="0"/>
    <x v="3"/>
    <x v="3"/>
    <n v="42"/>
    <n v="460"/>
    <x v="44"/>
    <n v="3477.6"/>
    <n v="324"/>
    <n v="15"/>
    <x v="44"/>
    <s v="Cancelled"/>
    <n v="5"/>
    <x v="2"/>
    <x v="44"/>
    <x v="43"/>
  </r>
  <r>
    <s v="ORD-1046"/>
    <d v="2025-06-19T00:00:00"/>
    <x v="0"/>
    <x v="0"/>
    <x v="0"/>
    <n v="12"/>
    <n v="1397"/>
    <x v="45"/>
    <n v="3017.52"/>
    <n v="272"/>
    <n v="10"/>
    <x v="45"/>
    <s v="Shipped"/>
    <n v="3.2"/>
    <x v="8"/>
    <x v="45"/>
    <x v="44"/>
  </r>
  <r>
    <s v="ORD-1047"/>
    <d v="2025-06-26T00:00:00"/>
    <x v="2"/>
    <x v="1"/>
    <x v="5"/>
    <n v="33"/>
    <n v="909"/>
    <x v="46"/>
    <n v="5399.46"/>
    <n v="72"/>
    <n v="15"/>
    <x v="46"/>
    <s v="Cancelled"/>
    <n v="3.4"/>
    <x v="8"/>
    <x v="46"/>
    <x v="45"/>
  </r>
  <r>
    <s v="ORD-1048"/>
    <d v="2025-12-29T00:00:00"/>
    <x v="4"/>
    <x v="0"/>
    <x v="9"/>
    <n v="35"/>
    <n v="1200"/>
    <x v="47"/>
    <n v="7560"/>
    <n v="390"/>
    <n v="10"/>
    <x v="47"/>
    <s v="In-Progress"/>
    <n v="3.1"/>
    <x v="4"/>
    <x v="47"/>
    <x v="46"/>
  </r>
  <r>
    <s v="ORD-1049"/>
    <d v="2025-06-19T00:00:00"/>
    <x v="3"/>
    <x v="3"/>
    <x v="8"/>
    <n v="47"/>
    <n v="353"/>
    <x v="48"/>
    <n v="2986.38"/>
    <n v="217"/>
    <n v="20"/>
    <x v="48"/>
    <s v="In-Progress"/>
    <n v="4.3"/>
    <x v="8"/>
    <x v="48"/>
    <x v="47"/>
  </r>
  <r>
    <s v="ORD-1050"/>
    <d v="2025-07-26T00:00:00"/>
    <x v="2"/>
    <x v="2"/>
    <x v="2"/>
    <n v="27"/>
    <n v="894"/>
    <x v="49"/>
    <n v="4344.84"/>
    <n v="257"/>
    <n v="5"/>
    <x v="49"/>
    <s v="Cancelled"/>
    <n v="4.0999999999999996"/>
    <x v="5"/>
    <x v="49"/>
    <x v="48"/>
  </r>
  <r>
    <s v="ORD-1051"/>
    <d v="2025-10-08T00:00:00"/>
    <x v="0"/>
    <x v="3"/>
    <x v="0"/>
    <n v="14"/>
    <n v="420"/>
    <x v="50"/>
    <n v="1058.4000000000001"/>
    <n v="288"/>
    <n v="20"/>
    <x v="50"/>
    <s v="Cancelled"/>
    <n v="4.3"/>
    <x v="1"/>
    <x v="50"/>
    <x v="49"/>
  </r>
  <r>
    <s v="ORD-1052"/>
    <d v="2025-08-15T00:00:00"/>
    <x v="4"/>
    <x v="2"/>
    <x v="9"/>
    <n v="31"/>
    <n v="786"/>
    <x v="51"/>
    <n v="4385.88"/>
    <n v="374"/>
    <n v="0"/>
    <x v="51"/>
    <s v="In-Progress"/>
    <n v="4"/>
    <x v="6"/>
    <x v="51"/>
    <x v="50"/>
  </r>
  <r>
    <s v="ORD-1053"/>
    <d v="2025-11-14T00:00:00"/>
    <x v="2"/>
    <x v="0"/>
    <x v="2"/>
    <n v="44"/>
    <n v="1258"/>
    <x v="52"/>
    <n v="9963.3599999999988"/>
    <n v="73"/>
    <n v="5"/>
    <x v="52"/>
    <s v="Shipped"/>
    <n v="3.3"/>
    <x v="0"/>
    <x v="52"/>
    <x v="51"/>
  </r>
  <r>
    <s v="ORD-1054"/>
    <d v="2025-05-06T00:00:00"/>
    <x v="4"/>
    <x v="0"/>
    <x v="4"/>
    <n v="27"/>
    <n v="1394"/>
    <x v="53"/>
    <n v="6774.84"/>
    <n v="303"/>
    <n v="5"/>
    <x v="53"/>
    <s v="Cancelled"/>
    <n v="4.4000000000000004"/>
    <x v="2"/>
    <x v="53"/>
    <x v="52"/>
  </r>
  <r>
    <s v="ORD-1055"/>
    <d v="2025-07-24T00:00:00"/>
    <x v="1"/>
    <x v="2"/>
    <x v="1"/>
    <n v="49"/>
    <n v="754"/>
    <x v="54"/>
    <n v="6650.28"/>
    <n v="406"/>
    <n v="15"/>
    <x v="54"/>
    <s v="Shipped"/>
    <n v="3.4"/>
    <x v="5"/>
    <x v="54"/>
    <x v="53"/>
  </r>
  <r>
    <s v="ORD-1056"/>
    <d v="2025-09-23T00:00:00"/>
    <x v="4"/>
    <x v="0"/>
    <x v="9"/>
    <n v="16"/>
    <n v="1162"/>
    <x v="55"/>
    <n v="3346.56"/>
    <n v="391"/>
    <n v="15"/>
    <x v="55"/>
    <s v="Shipped"/>
    <n v="4.5999999999999996"/>
    <x v="7"/>
    <x v="55"/>
    <x v="54"/>
  </r>
  <r>
    <s v="ORD-1057"/>
    <d v="2025-09-29T00:00:00"/>
    <x v="3"/>
    <x v="3"/>
    <x v="4"/>
    <n v="40"/>
    <n v="458"/>
    <x v="56"/>
    <n v="3297.6"/>
    <n v="131"/>
    <n v="15"/>
    <x v="56"/>
    <s v="Cancelled"/>
    <n v="3.9"/>
    <x v="7"/>
    <x v="56"/>
    <x v="55"/>
  </r>
  <r>
    <s v="ORD-1058"/>
    <d v="2025-09-01T00:00:00"/>
    <x v="4"/>
    <x v="3"/>
    <x v="2"/>
    <n v="41"/>
    <n v="341"/>
    <x v="57"/>
    <n v="2516.58"/>
    <n v="190"/>
    <n v="20"/>
    <x v="57"/>
    <s v="In-Progress"/>
    <n v="4.3"/>
    <x v="7"/>
    <x v="57"/>
    <x v="56"/>
  </r>
  <r>
    <s v="ORD-1059"/>
    <d v="2025-08-14T00:00:00"/>
    <x v="0"/>
    <x v="3"/>
    <x v="2"/>
    <n v="18"/>
    <n v="371"/>
    <x v="58"/>
    <n v="1202.04"/>
    <n v="127"/>
    <n v="10"/>
    <x v="58"/>
    <s v="Cancelled"/>
    <n v="3.2"/>
    <x v="6"/>
    <x v="58"/>
    <x v="57"/>
  </r>
  <r>
    <s v="ORD-1060"/>
    <d v="2025-04-29T00:00:00"/>
    <x v="4"/>
    <x v="2"/>
    <x v="2"/>
    <n v="5"/>
    <n v="912"/>
    <x v="59"/>
    <n v="820.8"/>
    <n v="262"/>
    <n v="15"/>
    <x v="59"/>
    <s v="In-Progress"/>
    <n v="4.0999999999999996"/>
    <x v="10"/>
    <x v="59"/>
    <x v="58"/>
  </r>
  <r>
    <s v="ORD-1061"/>
    <d v="2025-02-01T00:00:00"/>
    <x v="1"/>
    <x v="1"/>
    <x v="6"/>
    <n v="50"/>
    <n v="1149"/>
    <x v="60"/>
    <n v="10341"/>
    <n v="53"/>
    <n v="0"/>
    <x v="60"/>
    <s v="Cancelled"/>
    <n v="3.8"/>
    <x v="3"/>
    <x v="60"/>
    <x v="59"/>
  </r>
  <r>
    <s v="ORD-1062"/>
    <d v="2025-06-30T00:00:00"/>
    <x v="2"/>
    <x v="1"/>
    <x v="6"/>
    <n v="35"/>
    <n v="1129"/>
    <x v="61"/>
    <n v="7112.7"/>
    <n v="189"/>
    <n v="20"/>
    <x v="61"/>
    <s v="Shipped"/>
    <n v="4"/>
    <x v="8"/>
    <x v="61"/>
    <x v="60"/>
  </r>
  <r>
    <s v="ORD-1063"/>
    <d v="2025-08-12T00:00:00"/>
    <x v="4"/>
    <x v="0"/>
    <x v="6"/>
    <n v="22"/>
    <n v="1307"/>
    <x v="62"/>
    <n v="5175.72"/>
    <n v="368"/>
    <n v="5"/>
    <x v="62"/>
    <s v="In-Progress"/>
    <n v="4.8"/>
    <x v="6"/>
    <x v="62"/>
    <x v="61"/>
  </r>
  <r>
    <s v="ORD-1064"/>
    <d v="2025-10-01T00:00:00"/>
    <x v="0"/>
    <x v="1"/>
    <x v="5"/>
    <n v="37"/>
    <n v="863"/>
    <x v="63"/>
    <n v="5747.58"/>
    <n v="493"/>
    <n v="0"/>
    <x v="63"/>
    <s v="Cancelled"/>
    <n v="3.9"/>
    <x v="1"/>
    <x v="63"/>
    <x v="62"/>
  </r>
  <r>
    <s v="ORD-1065"/>
    <d v="2025-08-25T00:00:00"/>
    <x v="1"/>
    <x v="0"/>
    <x v="0"/>
    <n v="25"/>
    <n v="1267"/>
    <x v="64"/>
    <n v="5701.5"/>
    <n v="439"/>
    <n v="5"/>
    <x v="64"/>
    <s v="In-Progress"/>
    <n v="3.7"/>
    <x v="6"/>
    <x v="64"/>
    <x v="63"/>
  </r>
  <r>
    <s v="ORD-1066"/>
    <d v="2025-07-14T00:00:00"/>
    <x v="2"/>
    <x v="1"/>
    <x v="0"/>
    <n v="6"/>
    <n v="1090"/>
    <x v="65"/>
    <n v="1177.2"/>
    <n v="229"/>
    <n v="0"/>
    <x v="65"/>
    <s v="Cancelled"/>
    <n v="4.0999999999999996"/>
    <x v="5"/>
    <x v="65"/>
    <x v="64"/>
  </r>
  <r>
    <s v="ORD-1067"/>
    <d v="2025-04-25T00:00:00"/>
    <x v="0"/>
    <x v="0"/>
    <x v="1"/>
    <n v="16"/>
    <n v="1202"/>
    <x v="66"/>
    <n v="3461.76"/>
    <n v="114"/>
    <n v="0"/>
    <x v="66"/>
    <s v="Cancelled"/>
    <n v="3.3"/>
    <x v="10"/>
    <x v="66"/>
    <x v="65"/>
  </r>
  <r>
    <s v="ORD-1068"/>
    <d v="2025-08-31T00:00:00"/>
    <x v="0"/>
    <x v="2"/>
    <x v="4"/>
    <n v="45"/>
    <n v="831"/>
    <x v="67"/>
    <n v="6731.0999999999995"/>
    <n v="432"/>
    <n v="10"/>
    <x v="67"/>
    <s v="Shipped"/>
    <n v="4.2"/>
    <x v="6"/>
    <x v="67"/>
    <x v="66"/>
  </r>
  <r>
    <s v="ORD-1069"/>
    <d v="2025-02-28T00:00:00"/>
    <x v="1"/>
    <x v="3"/>
    <x v="8"/>
    <n v="38"/>
    <n v="213"/>
    <x v="68"/>
    <n v="1456.92"/>
    <n v="242"/>
    <n v="10"/>
    <x v="68"/>
    <s v="Cancelled"/>
    <n v="4.4000000000000004"/>
    <x v="3"/>
    <x v="68"/>
    <x v="67"/>
  </r>
  <r>
    <s v="ORD-1070"/>
    <d v="2025-07-23T00:00:00"/>
    <x v="1"/>
    <x v="0"/>
    <x v="5"/>
    <n v="45"/>
    <n v="1224"/>
    <x v="69"/>
    <n v="9914.4"/>
    <n v="485"/>
    <n v="0"/>
    <x v="69"/>
    <s v="Cancelled"/>
    <n v="4.5"/>
    <x v="5"/>
    <x v="69"/>
    <x v="68"/>
  </r>
  <r>
    <s v="ORD-1071"/>
    <d v="2025-12-17T00:00:00"/>
    <x v="3"/>
    <x v="0"/>
    <x v="5"/>
    <n v="3"/>
    <n v="1277"/>
    <x v="70"/>
    <n v="689.57999999999993"/>
    <n v="85"/>
    <n v="20"/>
    <x v="70"/>
    <s v="In-Progress"/>
    <n v="4.3"/>
    <x v="4"/>
    <x v="70"/>
    <x v="69"/>
  </r>
  <r>
    <s v="ORD-1072"/>
    <d v="2025-09-17T00:00:00"/>
    <x v="2"/>
    <x v="0"/>
    <x v="6"/>
    <n v="32"/>
    <n v="1154"/>
    <x v="71"/>
    <n v="6647.04"/>
    <n v="474"/>
    <n v="15"/>
    <x v="71"/>
    <s v="In-Progress"/>
    <n v="4.3"/>
    <x v="7"/>
    <x v="71"/>
    <x v="70"/>
  </r>
  <r>
    <s v="ORD-1073"/>
    <d v="2025-08-24T00:00:00"/>
    <x v="1"/>
    <x v="1"/>
    <x v="7"/>
    <n v="47"/>
    <n v="1117"/>
    <x v="72"/>
    <n v="9449.82"/>
    <n v="325"/>
    <n v="10"/>
    <x v="72"/>
    <s v="Cancelled"/>
    <n v="4.5999999999999996"/>
    <x v="6"/>
    <x v="72"/>
    <x v="71"/>
  </r>
  <r>
    <s v="ORD-1074"/>
    <d v="2025-09-05T00:00:00"/>
    <x v="4"/>
    <x v="1"/>
    <x v="5"/>
    <n v="18"/>
    <n v="1015"/>
    <x v="73"/>
    <n v="3288.6"/>
    <n v="280"/>
    <n v="5"/>
    <x v="73"/>
    <s v="Shipped"/>
    <n v="3.6"/>
    <x v="7"/>
    <x v="73"/>
    <x v="72"/>
  </r>
  <r>
    <s v="ORD-1075"/>
    <d v="2025-05-05T00:00:00"/>
    <x v="4"/>
    <x v="1"/>
    <x v="3"/>
    <n v="2"/>
    <n v="1103"/>
    <x v="74"/>
    <n v="397.08"/>
    <n v="231"/>
    <n v="10"/>
    <x v="74"/>
    <s v="Shipped"/>
    <n v="4"/>
    <x v="2"/>
    <x v="74"/>
    <x v="73"/>
  </r>
  <r>
    <s v="ORD-1076"/>
    <d v="2025-05-13T00:00:00"/>
    <x v="2"/>
    <x v="3"/>
    <x v="5"/>
    <n v="45"/>
    <n v="341"/>
    <x v="75"/>
    <n v="2762.1"/>
    <n v="147"/>
    <n v="20"/>
    <x v="75"/>
    <s v="Shipped"/>
    <n v="4"/>
    <x v="2"/>
    <x v="75"/>
    <x v="74"/>
  </r>
  <r>
    <s v="ORD-1077"/>
    <d v="2025-02-13T00:00:00"/>
    <x v="1"/>
    <x v="1"/>
    <x v="4"/>
    <n v="36"/>
    <n v="973"/>
    <x v="76"/>
    <n v="6305.04"/>
    <n v="279"/>
    <n v="15"/>
    <x v="76"/>
    <s v="Cancelled"/>
    <n v="4.4000000000000004"/>
    <x v="3"/>
    <x v="76"/>
    <x v="75"/>
  </r>
  <r>
    <s v="ORD-1078"/>
    <d v="2025-01-09T00:00:00"/>
    <x v="0"/>
    <x v="3"/>
    <x v="2"/>
    <n v="26"/>
    <n v="324"/>
    <x v="77"/>
    <n v="1516.32"/>
    <n v="292"/>
    <n v="10"/>
    <x v="77"/>
    <s v="Cancelled"/>
    <n v="4.2"/>
    <x v="11"/>
    <x v="77"/>
    <x v="76"/>
  </r>
  <r>
    <s v="ORD-1079"/>
    <d v="2025-10-11T00:00:00"/>
    <x v="3"/>
    <x v="3"/>
    <x v="6"/>
    <n v="48"/>
    <n v="481"/>
    <x v="78"/>
    <n v="4155.84"/>
    <n v="188"/>
    <n v="10"/>
    <x v="78"/>
    <s v="In-Progress"/>
    <n v="4.4000000000000004"/>
    <x v="1"/>
    <x v="78"/>
    <x v="77"/>
  </r>
  <r>
    <s v="ORD-1080"/>
    <d v="2025-06-06T00:00:00"/>
    <x v="2"/>
    <x v="2"/>
    <x v="8"/>
    <n v="47"/>
    <n v="798"/>
    <x v="79"/>
    <n v="6751.08"/>
    <n v="440"/>
    <n v="10"/>
    <x v="79"/>
    <s v="Shipped"/>
    <n v="4.5"/>
    <x v="8"/>
    <x v="79"/>
    <x v="78"/>
  </r>
  <r>
    <s v="ORD-1081"/>
    <d v="2025-12-20T00:00:00"/>
    <x v="1"/>
    <x v="2"/>
    <x v="2"/>
    <n v="48"/>
    <n v="947"/>
    <x v="80"/>
    <n v="8182.08"/>
    <n v="439"/>
    <n v="10"/>
    <x v="80"/>
    <s v="Cancelled"/>
    <n v="4.2"/>
    <x v="4"/>
    <x v="80"/>
    <x v="79"/>
  </r>
  <r>
    <s v="ORD-1082"/>
    <d v="2025-09-26T00:00:00"/>
    <x v="3"/>
    <x v="3"/>
    <x v="8"/>
    <n v="13"/>
    <n v="351"/>
    <x v="81"/>
    <n v="821.33999999999992"/>
    <n v="57"/>
    <n v="5"/>
    <x v="81"/>
    <s v="In-Progress"/>
    <n v="3.4"/>
    <x v="7"/>
    <x v="81"/>
    <x v="80"/>
  </r>
  <r>
    <s v="ORD-1083"/>
    <d v="2025-12-29T00:00:00"/>
    <x v="3"/>
    <x v="2"/>
    <x v="0"/>
    <n v="3"/>
    <n v="727"/>
    <x v="82"/>
    <n v="392.58"/>
    <n v="114"/>
    <n v="20"/>
    <x v="82"/>
    <s v="In-Progress"/>
    <n v="4.4000000000000004"/>
    <x v="4"/>
    <x v="82"/>
    <x v="81"/>
  </r>
  <r>
    <s v="ORD-1084"/>
    <d v="2025-11-23T00:00:00"/>
    <x v="4"/>
    <x v="0"/>
    <x v="1"/>
    <n v="37"/>
    <n v="1245"/>
    <x v="83"/>
    <n v="8291.6999999999989"/>
    <n v="144"/>
    <n v="15"/>
    <x v="83"/>
    <s v="In-Progress"/>
    <n v="3.9"/>
    <x v="0"/>
    <x v="83"/>
    <x v="82"/>
  </r>
  <r>
    <s v="ORD-1085"/>
    <d v="2025-01-27T00:00:00"/>
    <x v="2"/>
    <x v="1"/>
    <x v="8"/>
    <n v="5"/>
    <n v="1055"/>
    <x v="84"/>
    <n v="949.5"/>
    <n v="401"/>
    <n v="15"/>
    <x v="84"/>
    <s v="Shipped"/>
    <n v="4.2"/>
    <x v="11"/>
    <x v="84"/>
    <x v="83"/>
  </r>
  <r>
    <s v="ORD-1086"/>
    <d v="2025-01-28T00:00:00"/>
    <x v="1"/>
    <x v="2"/>
    <x v="5"/>
    <n v="20"/>
    <n v="743"/>
    <x v="85"/>
    <n v="2674.8"/>
    <n v="263"/>
    <n v="5"/>
    <x v="85"/>
    <s v="Shipped"/>
    <n v="4.0999999999999996"/>
    <x v="11"/>
    <x v="85"/>
    <x v="84"/>
  </r>
  <r>
    <s v="ORD-1087"/>
    <d v="2025-11-07T00:00:00"/>
    <x v="3"/>
    <x v="2"/>
    <x v="9"/>
    <n v="25"/>
    <n v="930"/>
    <x v="86"/>
    <n v="4185"/>
    <n v="269"/>
    <n v="15"/>
    <x v="86"/>
    <s v="In-Progress"/>
    <n v="4.7"/>
    <x v="0"/>
    <x v="86"/>
    <x v="4"/>
  </r>
  <r>
    <s v="ORD-1088"/>
    <d v="2025-06-06T00:00:00"/>
    <x v="3"/>
    <x v="0"/>
    <x v="5"/>
    <n v="48"/>
    <n v="1150"/>
    <x v="87"/>
    <n v="9936"/>
    <n v="388"/>
    <n v="5"/>
    <x v="87"/>
    <s v="Cancelled"/>
    <n v="3.4"/>
    <x v="8"/>
    <x v="87"/>
    <x v="8"/>
  </r>
  <r>
    <s v="ORD-1089"/>
    <d v="2025-02-11T00:00:00"/>
    <x v="1"/>
    <x v="2"/>
    <x v="7"/>
    <n v="36"/>
    <n v="738"/>
    <x v="88"/>
    <n v="4782.24"/>
    <n v="402"/>
    <n v="5"/>
    <x v="88"/>
    <s v="Shipped"/>
    <n v="3.8"/>
    <x v="3"/>
    <x v="88"/>
    <x v="85"/>
  </r>
  <r>
    <s v="ORD-1090"/>
    <d v="2025-11-01T00:00:00"/>
    <x v="4"/>
    <x v="3"/>
    <x v="1"/>
    <n v="15"/>
    <n v="347"/>
    <x v="89"/>
    <n v="936.9"/>
    <n v="86"/>
    <n v="10"/>
    <x v="89"/>
    <s v="Cancelled"/>
    <n v="4.7"/>
    <x v="0"/>
    <x v="89"/>
    <x v="86"/>
  </r>
  <r>
    <s v="ORD-1091"/>
    <d v="2025-12-18T00:00:00"/>
    <x v="1"/>
    <x v="3"/>
    <x v="5"/>
    <n v="43"/>
    <n v="301"/>
    <x v="90"/>
    <n v="2329.7399999999998"/>
    <n v="381"/>
    <n v="15"/>
    <x v="90"/>
    <s v="Shipped"/>
    <n v="4.0999999999999996"/>
    <x v="4"/>
    <x v="90"/>
    <x v="87"/>
  </r>
  <r>
    <s v="ORD-1092"/>
    <d v="2025-03-18T00:00:00"/>
    <x v="2"/>
    <x v="2"/>
    <x v="8"/>
    <n v="4"/>
    <n v="784"/>
    <x v="91"/>
    <n v="564.48"/>
    <n v="341"/>
    <n v="10"/>
    <x v="91"/>
    <s v="Cancelled"/>
    <n v="4.5"/>
    <x v="9"/>
    <x v="91"/>
    <x v="88"/>
  </r>
  <r>
    <s v="ORD-1093"/>
    <d v="2025-05-28T00:00:00"/>
    <x v="4"/>
    <x v="0"/>
    <x v="4"/>
    <n v="45"/>
    <n v="1255"/>
    <x v="92"/>
    <n v="10165.5"/>
    <n v="302"/>
    <n v="15"/>
    <x v="92"/>
    <s v="In-Progress"/>
    <n v="4"/>
    <x v="2"/>
    <x v="92"/>
    <x v="89"/>
  </r>
  <r>
    <s v="ORD-1094"/>
    <d v="2025-08-13T00:00:00"/>
    <x v="0"/>
    <x v="0"/>
    <x v="6"/>
    <n v="48"/>
    <n v="1265"/>
    <x v="93"/>
    <n v="10929.6"/>
    <n v="167"/>
    <n v="20"/>
    <x v="93"/>
    <s v="In-Progress"/>
    <n v="3.1"/>
    <x v="6"/>
    <x v="93"/>
    <x v="90"/>
  </r>
  <r>
    <s v="ORD-1095"/>
    <d v="2025-12-12T00:00:00"/>
    <x v="3"/>
    <x v="0"/>
    <x v="0"/>
    <n v="37"/>
    <n v="1120"/>
    <x v="94"/>
    <n v="7459.2"/>
    <n v="276"/>
    <n v="5"/>
    <x v="94"/>
    <s v="In-Progress"/>
    <n v="4"/>
    <x v="4"/>
    <x v="94"/>
    <x v="91"/>
  </r>
  <r>
    <s v="ORD-1096"/>
    <d v="2025-05-23T00:00:00"/>
    <x v="1"/>
    <x v="1"/>
    <x v="4"/>
    <n v="6"/>
    <n v="1090"/>
    <x v="65"/>
    <n v="1177.2"/>
    <n v="393"/>
    <n v="10"/>
    <x v="95"/>
    <s v="In-Progress"/>
    <n v="3.7"/>
    <x v="2"/>
    <x v="95"/>
    <x v="12"/>
  </r>
  <r>
    <s v="ORD-1097"/>
    <d v="2025-02-23T00:00:00"/>
    <x v="1"/>
    <x v="3"/>
    <x v="6"/>
    <n v="45"/>
    <n v="453"/>
    <x v="95"/>
    <n v="3669.3"/>
    <n v="466"/>
    <n v="10"/>
    <x v="96"/>
    <s v="Cancelled"/>
    <n v="4.9000000000000004"/>
    <x v="3"/>
    <x v="96"/>
    <x v="92"/>
  </r>
  <r>
    <s v="ORD-1098"/>
    <d v="2025-10-09T00:00:00"/>
    <x v="0"/>
    <x v="1"/>
    <x v="8"/>
    <n v="21"/>
    <n v="979"/>
    <x v="96"/>
    <n v="3700.62"/>
    <n v="256"/>
    <n v="10"/>
    <x v="97"/>
    <s v="Shipped"/>
    <n v="4.9000000000000004"/>
    <x v="1"/>
    <x v="97"/>
    <x v="93"/>
  </r>
  <r>
    <s v="ORD-1099"/>
    <d v="2025-09-21T00:00:00"/>
    <x v="0"/>
    <x v="1"/>
    <x v="6"/>
    <n v="4"/>
    <n v="946"/>
    <x v="97"/>
    <n v="681.12"/>
    <n v="305"/>
    <n v="20"/>
    <x v="98"/>
    <s v="In-Progress"/>
    <n v="4.2"/>
    <x v="7"/>
    <x v="98"/>
    <x v="94"/>
  </r>
  <r>
    <s v="ORD-1100"/>
    <d v="2025-11-17T00:00:00"/>
    <x v="4"/>
    <x v="0"/>
    <x v="2"/>
    <n v="18"/>
    <n v="1381"/>
    <x v="98"/>
    <n v="4474.4399999999996"/>
    <n v="407"/>
    <n v="5"/>
    <x v="99"/>
    <s v="In-Progress"/>
    <n v="3.9"/>
    <x v="0"/>
    <x v="99"/>
    <x v="95"/>
  </r>
  <r>
    <s v="ORD-1101"/>
    <d v="2025-09-06T00:00:00"/>
    <x v="0"/>
    <x v="0"/>
    <x v="5"/>
    <n v="16"/>
    <n v="1181"/>
    <x v="99"/>
    <n v="3401.28"/>
    <n v="258"/>
    <n v="10"/>
    <x v="100"/>
    <s v="Cancelled"/>
    <n v="3"/>
    <x v="7"/>
    <x v="100"/>
    <x v="96"/>
  </r>
  <r>
    <s v="ORD-1102"/>
    <d v="2025-02-17T00:00:00"/>
    <x v="1"/>
    <x v="0"/>
    <x v="4"/>
    <n v="8"/>
    <n v="1178"/>
    <x v="100"/>
    <n v="1696.32"/>
    <n v="411"/>
    <n v="15"/>
    <x v="101"/>
    <s v="Cancelled"/>
    <n v="3.6"/>
    <x v="3"/>
    <x v="101"/>
    <x v="97"/>
  </r>
  <r>
    <s v="ORD-1103"/>
    <d v="2025-05-20T00:00:00"/>
    <x v="4"/>
    <x v="1"/>
    <x v="4"/>
    <n v="16"/>
    <n v="1083"/>
    <x v="101"/>
    <n v="3119.04"/>
    <n v="356"/>
    <n v="20"/>
    <x v="102"/>
    <s v="Shipped"/>
    <n v="3.8"/>
    <x v="2"/>
    <x v="102"/>
    <x v="98"/>
  </r>
  <r>
    <s v="ORD-1104"/>
    <d v="2025-09-18T00:00:00"/>
    <x v="1"/>
    <x v="0"/>
    <x v="0"/>
    <n v="50"/>
    <n v="1312"/>
    <x v="102"/>
    <n v="11808"/>
    <n v="51"/>
    <n v="10"/>
    <x v="103"/>
    <s v="Cancelled"/>
    <n v="3.5"/>
    <x v="7"/>
    <x v="103"/>
    <x v="99"/>
  </r>
  <r>
    <s v="ORD-1105"/>
    <d v="2025-05-25T00:00:00"/>
    <x v="2"/>
    <x v="1"/>
    <x v="7"/>
    <n v="29"/>
    <n v="1125"/>
    <x v="103"/>
    <n v="5872.5"/>
    <n v="440"/>
    <n v="15"/>
    <x v="104"/>
    <s v="In-Progress"/>
    <n v="3.7"/>
    <x v="2"/>
    <x v="104"/>
    <x v="100"/>
  </r>
  <r>
    <s v="ORD-1106"/>
    <d v="2025-10-06T00:00:00"/>
    <x v="4"/>
    <x v="1"/>
    <x v="3"/>
    <n v="13"/>
    <n v="972"/>
    <x v="104"/>
    <n v="2274.48"/>
    <n v="447"/>
    <n v="20"/>
    <x v="105"/>
    <s v="In-Progress"/>
    <n v="3.5"/>
    <x v="1"/>
    <x v="105"/>
    <x v="101"/>
  </r>
  <r>
    <s v="ORD-1107"/>
    <d v="2025-07-30T00:00:00"/>
    <x v="0"/>
    <x v="3"/>
    <x v="4"/>
    <n v="46"/>
    <n v="395"/>
    <x v="105"/>
    <n v="3270.6"/>
    <n v="383"/>
    <n v="15"/>
    <x v="106"/>
    <s v="Cancelled"/>
    <n v="4.5999999999999996"/>
    <x v="5"/>
    <x v="106"/>
    <x v="102"/>
  </r>
  <r>
    <s v="ORD-1108"/>
    <d v="2025-03-19T00:00:00"/>
    <x v="4"/>
    <x v="0"/>
    <x v="7"/>
    <n v="33"/>
    <n v="1269"/>
    <x v="106"/>
    <n v="7537.86"/>
    <n v="283"/>
    <n v="0"/>
    <x v="107"/>
    <s v="In-Progress"/>
    <n v="3.2"/>
    <x v="9"/>
    <x v="107"/>
    <x v="103"/>
  </r>
  <r>
    <s v="ORD-1109"/>
    <d v="2025-01-08T00:00:00"/>
    <x v="1"/>
    <x v="1"/>
    <x v="7"/>
    <n v="5"/>
    <n v="1090"/>
    <x v="107"/>
    <n v="981"/>
    <n v="253"/>
    <n v="10"/>
    <x v="108"/>
    <s v="In-Progress"/>
    <n v="4.2"/>
    <x v="11"/>
    <x v="108"/>
    <x v="104"/>
  </r>
  <r>
    <s v="ORD-1110"/>
    <d v="2025-11-29T00:00:00"/>
    <x v="0"/>
    <x v="3"/>
    <x v="9"/>
    <n v="25"/>
    <n v="362"/>
    <x v="108"/>
    <n v="1629"/>
    <n v="85"/>
    <n v="15"/>
    <x v="109"/>
    <s v="Cancelled"/>
    <n v="3.1"/>
    <x v="0"/>
    <x v="109"/>
    <x v="105"/>
  </r>
  <r>
    <s v="ORD-1111"/>
    <d v="2025-05-01T00:00:00"/>
    <x v="2"/>
    <x v="2"/>
    <x v="8"/>
    <n v="28"/>
    <n v="750"/>
    <x v="109"/>
    <n v="3780"/>
    <n v="203"/>
    <n v="0"/>
    <x v="110"/>
    <s v="In-Progress"/>
    <n v="3.3"/>
    <x v="2"/>
    <x v="110"/>
    <x v="106"/>
  </r>
  <r>
    <s v="ORD-1112"/>
    <d v="2025-01-15T00:00:00"/>
    <x v="0"/>
    <x v="3"/>
    <x v="1"/>
    <n v="19"/>
    <n v="383"/>
    <x v="110"/>
    <n v="1309.8599999999999"/>
    <n v="321"/>
    <n v="10"/>
    <x v="111"/>
    <s v="In-Progress"/>
    <n v="3.3"/>
    <x v="11"/>
    <x v="111"/>
    <x v="107"/>
  </r>
  <r>
    <s v="ORD-1113"/>
    <d v="2025-07-30T00:00:00"/>
    <x v="3"/>
    <x v="2"/>
    <x v="7"/>
    <n v="12"/>
    <n v="740"/>
    <x v="111"/>
    <n v="1598.4"/>
    <n v="173"/>
    <n v="20"/>
    <x v="112"/>
    <s v="In-Progress"/>
    <n v="4.2"/>
    <x v="5"/>
    <x v="112"/>
    <x v="108"/>
  </r>
  <r>
    <s v="ORD-1114"/>
    <d v="2025-09-12T00:00:00"/>
    <x v="3"/>
    <x v="2"/>
    <x v="2"/>
    <n v="30"/>
    <n v="830"/>
    <x v="112"/>
    <n v="4482"/>
    <n v="461"/>
    <n v="15"/>
    <x v="113"/>
    <s v="In-Progress"/>
    <n v="4.3"/>
    <x v="7"/>
    <x v="113"/>
    <x v="109"/>
  </r>
  <r>
    <s v="ORD-1115"/>
    <d v="2025-08-27T00:00:00"/>
    <x v="2"/>
    <x v="2"/>
    <x v="8"/>
    <n v="29"/>
    <n v="876"/>
    <x v="113"/>
    <n v="4572.72"/>
    <n v="267"/>
    <n v="20"/>
    <x v="114"/>
    <s v="In-Progress"/>
    <n v="4.3"/>
    <x v="6"/>
    <x v="114"/>
    <x v="110"/>
  </r>
  <r>
    <s v="ORD-1116"/>
    <d v="2025-12-20T00:00:00"/>
    <x v="2"/>
    <x v="1"/>
    <x v="0"/>
    <n v="13"/>
    <n v="1046"/>
    <x v="114"/>
    <n v="2447.64"/>
    <n v="342"/>
    <n v="15"/>
    <x v="115"/>
    <s v="Shipped"/>
    <n v="3.5"/>
    <x v="4"/>
    <x v="115"/>
    <x v="111"/>
  </r>
  <r>
    <s v="ORD-1117"/>
    <d v="2025-07-03T00:00:00"/>
    <x v="3"/>
    <x v="3"/>
    <x v="0"/>
    <n v="2"/>
    <n v="402"/>
    <x v="115"/>
    <n v="144.72"/>
    <n v="401"/>
    <n v="10"/>
    <x v="116"/>
    <s v="Shipped"/>
    <n v="4.0999999999999996"/>
    <x v="5"/>
    <x v="116"/>
    <x v="112"/>
  </r>
  <r>
    <s v="ORD-1118"/>
    <d v="2025-01-26T00:00:00"/>
    <x v="3"/>
    <x v="1"/>
    <x v="0"/>
    <n v="50"/>
    <n v="967"/>
    <x v="116"/>
    <n v="8703"/>
    <n v="147"/>
    <n v="20"/>
    <x v="117"/>
    <s v="In-Progress"/>
    <n v="3.4"/>
    <x v="11"/>
    <x v="117"/>
    <x v="113"/>
  </r>
  <r>
    <s v="ORD-1119"/>
    <d v="2025-11-14T00:00:00"/>
    <x v="2"/>
    <x v="2"/>
    <x v="8"/>
    <n v="41"/>
    <n v="720"/>
    <x v="117"/>
    <n v="5313.5999999999995"/>
    <n v="236"/>
    <n v="10"/>
    <x v="118"/>
    <s v="In-Progress"/>
    <n v="3.1"/>
    <x v="0"/>
    <x v="118"/>
    <x v="39"/>
  </r>
  <r>
    <s v="ORD-1120"/>
    <d v="2025-03-09T00:00:00"/>
    <x v="0"/>
    <x v="3"/>
    <x v="3"/>
    <n v="48"/>
    <n v="412"/>
    <x v="118"/>
    <n v="3559.68"/>
    <n v="326"/>
    <n v="5"/>
    <x v="119"/>
    <s v="Shipped"/>
    <n v="3.3"/>
    <x v="9"/>
    <x v="119"/>
    <x v="114"/>
  </r>
  <r>
    <s v="ORD-1121"/>
    <d v="2025-07-07T00:00:00"/>
    <x v="3"/>
    <x v="3"/>
    <x v="7"/>
    <n v="17"/>
    <n v="446"/>
    <x v="119"/>
    <n v="1364.76"/>
    <n v="461"/>
    <n v="10"/>
    <x v="120"/>
    <s v="Cancelled"/>
    <n v="4.7"/>
    <x v="5"/>
    <x v="120"/>
    <x v="115"/>
  </r>
  <r>
    <s v="ORD-1122"/>
    <d v="2025-02-28T00:00:00"/>
    <x v="4"/>
    <x v="0"/>
    <x v="7"/>
    <n v="49"/>
    <n v="1215"/>
    <x v="120"/>
    <n v="10716.3"/>
    <n v="454"/>
    <n v="15"/>
    <x v="121"/>
    <s v="Cancelled"/>
    <n v="3.7"/>
    <x v="3"/>
    <x v="121"/>
    <x v="116"/>
  </r>
  <r>
    <s v="ORD-1123"/>
    <d v="2025-07-22T00:00:00"/>
    <x v="0"/>
    <x v="3"/>
    <x v="9"/>
    <n v="8"/>
    <n v="432"/>
    <x v="121"/>
    <n v="622.07999999999993"/>
    <n v="184"/>
    <n v="10"/>
    <x v="122"/>
    <s v="Cancelled"/>
    <n v="4.5"/>
    <x v="5"/>
    <x v="122"/>
    <x v="117"/>
  </r>
  <r>
    <s v="ORD-1124"/>
    <d v="2025-10-27T00:00:00"/>
    <x v="4"/>
    <x v="3"/>
    <x v="8"/>
    <n v="44"/>
    <n v="319"/>
    <x v="122"/>
    <n v="2526.48"/>
    <n v="337"/>
    <n v="15"/>
    <x v="123"/>
    <s v="Shipped"/>
    <n v="4.2"/>
    <x v="1"/>
    <x v="123"/>
    <x v="118"/>
  </r>
  <r>
    <s v="ORD-1125"/>
    <d v="2025-06-17T00:00:00"/>
    <x v="3"/>
    <x v="2"/>
    <x v="8"/>
    <n v="41"/>
    <n v="937"/>
    <x v="123"/>
    <n v="6915.0599999999986"/>
    <n v="121"/>
    <n v="10"/>
    <x v="124"/>
    <s v="Cancelled"/>
    <n v="3.8"/>
    <x v="8"/>
    <x v="124"/>
    <x v="119"/>
  </r>
  <r>
    <s v="ORD-1126"/>
    <d v="2025-01-24T00:00:00"/>
    <x v="0"/>
    <x v="3"/>
    <x v="4"/>
    <n v="8"/>
    <n v="249"/>
    <x v="124"/>
    <n v="358.56"/>
    <n v="282"/>
    <n v="5"/>
    <x v="125"/>
    <s v="Cancelled"/>
    <n v="3.3"/>
    <x v="11"/>
    <x v="125"/>
    <x v="120"/>
  </r>
  <r>
    <s v="ORD-1127"/>
    <d v="2025-07-09T00:00:00"/>
    <x v="3"/>
    <x v="1"/>
    <x v="5"/>
    <n v="48"/>
    <n v="929"/>
    <x v="125"/>
    <n v="8026.5599999999986"/>
    <n v="300"/>
    <n v="15"/>
    <x v="126"/>
    <s v="Cancelled"/>
    <n v="3.2"/>
    <x v="5"/>
    <x v="126"/>
    <x v="121"/>
  </r>
  <r>
    <s v="ORD-1128"/>
    <d v="2025-11-12T00:00:00"/>
    <x v="4"/>
    <x v="3"/>
    <x v="1"/>
    <n v="45"/>
    <n v="389"/>
    <x v="126"/>
    <n v="3150.9"/>
    <n v="170"/>
    <n v="5"/>
    <x v="127"/>
    <s v="In-Progress"/>
    <n v="3.9"/>
    <x v="0"/>
    <x v="127"/>
    <x v="122"/>
  </r>
  <r>
    <s v="ORD-1129"/>
    <d v="2025-07-05T00:00:00"/>
    <x v="0"/>
    <x v="3"/>
    <x v="9"/>
    <n v="42"/>
    <n v="383"/>
    <x v="127"/>
    <n v="2895.48"/>
    <n v="112"/>
    <n v="0"/>
    <x v="128"/>
    <s v="In-Progress"/>
    <n v="3.6"/>
    <x v="5"/>
    <x v="128"/>
    <x v="123"/>
  </r>
  <r>
    <s v="ORD-1130"/>
    <d v="2025-08-21T00:00:00"/>
    <x v="0"/>
    <x v="2"/>
    <x v="5"/>
    <n v="2"/>
    <n v="725"/>
    <x v="128"/>
    <n v="261"/>
    <n v="452"/>
    <n v="10"/>
    <x v="129"/>
    <s v="Shipped"/>
    <n v="5"/>
    <x v="6"/>
    <x v="129"/>
    <x v="124"/>
  </r>
  <r>
    <s v="ORD-1131"/>
    <d v="2025-10-17T00:00:00"/>
    <x v="1"/>
    <x v="0"/>
    <x v="9"/>
    <n v="14"/>
    <n v="1400"/>
    <x v="129"/>
    <n v="3528"/>
    <n v="125"/>
    <n v="5"/>
    <x v="130"/>
    <s v="Shipped"/>
    <n v="3.7"/>
    <x v="1"/>
    <x v="130"/>
    <x v="125"/>
  </r>
  <r>
    <s v="ORD-1132"/>
    <d v="2025-11-02T00:00:00"/>
    <x v="0"/>
    <x v="3"/>
    <x v="7"/>
    <n v="9"/>
    <n v="476"/>
    <x v="130"/>
    <n v="771.12"/>
    <n v="493"/>
    <n v="10"/>
    <x v="131"/>
    <s v="Shipped"/>
    <n v="3.2"/>
    <x v="0"/>
    <x v="131"/>
    <x v="126"/>
  </r>
  <r>
    <s v="ORD-1133"/>
    <d v="2025-01-14T00:00:00"/>
    <x v="1"/>
    <x v="0"/>
    <x v="3"/>
    <n v="16"/>
    <n v="1265"/>
    <x v="131"/>
    <n v="3643.2"/>
    <n v="114"/>
    <n v="0"/>
    <x v="132"/>
    <s v="Shipped"/>
    <n v="3.5"/>
    <x v="11"/>
    <x v="132"/>
    <x v="127"/>
  </r>
  <r>
    <s v="ORD-1134"/>
    <d v="2025-08-04T00:00:00"/>
    <x v="3"/>
    <x v="0"/>
    <x v="8"/>
    <n v="31"/>
    <n v="1329"/>
    <x v="132"/>
    <n v="7415.82"/>
    <n v="281"/>
    <n v="10"/>
    <x v="133"/>
    <s v="Cancelled"/>
    <n v="4.2"/>
    <x v="6"/>
    <x v="133"/>
    <x v="128"/>
  </r>
  <r>
    <s v="ORD-1135"/>
    <d v="2025-09-15T00:00:00"/>
    <x v="1"/>
    <x v="0"/>
    <x v="9"/>
    <n v="20"/>
    <n v="1334"/>
    <x v="133"/>
    <n v="4802.3999999999996"/>
    <n v="483"/>
    <n v="0"/>
    <x v="134"/>
    <s v="Shipped"/>
    <n v="5"/>
    <x v="7"/>
    <x v="134"/>
    <x v="129"/>
  </r>
  <r>
    <s v="ORD-1136"/>
    <d v="2025-07-25T00:00:00"/>
    <x v="4"/>
    <x v="0"/>
    <x v="4"/>
    <n v="46"/>
    <n v="1327"/>
    <x v="134"/>
    <n v="10987.56"/>
    <n v="125"/>
    <n v="0"/>
    <x v="135"/>
    <s v="Shipped"/>
    <n v="3.6"/>
    <x v="5"/>
    <x v="135"/>
    <x v="130"/>
  </r>
  <r>
    <s v="ORD-1137"/>
    <d v="2025-02-03T00:00:00"/>
    <x v="1"/>
    <x v="3"/>
    <x v="5"/>
    <n v="41"/>
    <n v="499"/>
    <x v="135"/>
    <n v="3682.62"/>
    <n v="355"/>
    <n v="20"/>
    <x v="136"/>
    <s v="Cancelled"/>
    <n v="3.7"/>
    <x v="3"/>
    <x v="136"/>
    <x v="131"/>
  </r>
  <r>
    <s v="ORD-1138"/>
    <d v="2025-09-29T00:00:00"/>
    <x v="2"/>
    <x v="1"/>
    <x v="9"/>
    <n v="39"/>
    <n v="1070"/>
    <x v="136"/>
    <n v="7511.4"/>
    <n v="385"/>
    <n v="0"/>
    <x v="137"/>
    <s v="Cancelled"/>
    <n v="3.2"/>
    <x v="7"/>
    <x v="137"/>
    <x v="132"/>
  </r>
  <r>
    <s v="ORD-1139"/>
    <d v="2025-11-30T00:00:00"/>
    <x v="3"/>
    <x v="2"/>
    <x v="6"/>
    <n v="29"/>
    <n v="816"/>
    <x v="137"/>
    <n v="4259.5200000000004"/>
    <n v="254"/>
    <n v="15"/>
    <x v="138"/>
    <s v="In-Progress"/>
    <n v="4.7"/>
    <x v="0"/>
    <x v="138"/>
    <x v="133"/>
  </r>
  <r>
    <s v="ORD-1140"/>
    <d v="2025-08-01T00:00:00"/>
    <x v="0"/>
    <x v="3"/>
    <x v="6"/>
    <n v="21"/>
    <n v="330"/>
    <x v="138"/>
    <n v="1247.4000000000001"/>
    <n v="292"/>
    <n v="10"/>
    <x v="139"/>
    <s v="Shipped"/>
    <n v="4.4000000000000004"/>
    <x v="6"/>
    <x v="139"/>
    <x v="134"/>
  </r>
  <r>
    <s v="ORD-1141"/>
    <d v="2025-02-04T00:00:00"/>
    <x v="0"/>
    <x v="0"/>
    <x v="8"/>
    <n v="28"/>
    <n v="1149"/>
    <x v="139"/>
    <n v="5790.96"/>
    <n v="350"/>
    <n v="10"/>
    <x v="140"/>
    <s v="Shipped"/>
    <n v="4.0999999999999996"/>
    <x v="3"/>
    <x v="140"/>
    <x v="135"/>
  </r>
  <r>
    <s v="ORD-1142"/>
    <d v="2025-10-15T00:00:00"/>
    <x v="3"/>
    <x v="3"/>
    <x v="8"/>
    <n v="27"/>
    <n v="381"/>
    <x v="140"/>
    <n v="1851.66"/>
    <n v="197"/>
    <n v="15"/>
    <x v="141"/>
    <s v="Cancelled"/>
    <n v="3.1"/>
    <x v="1"/>
    <x v="141"/>
    <x v="136"/>
  </r>
  <r>
    <s v="ORD-1143"/>
    <d v="2025-11-04T00:00:00"/>
    <x v="2"/>
    <x v="3"/>
    <x v="8"/>
    <n v="37"/>
    <n v="459"/>
    <x v="141"/>
    <n v="3056.94"/>
    <n v="164"/>
    <n v="5"/>
    <x v="142"/>
    <s v="Shipped"/>
    <n v="4.3"/>
    <x v="0"/>
    <x v="142"/>
    <x v="122"/>
  </r>
  <r>
    <s v="ORD-1144"/>
    <d v="2025-02-25T00:00:00"/>
    <x v="2"/>
    <x v="3"/>
    <x v="8"/>
    <n v="49"/>
    <n v="342"/>
    <x v="142"/>
    <n v="3016.44"/>
    <n v="482"/>
    <n v="20"/>
    <x v="143"/>
    <s v="Shipped"/>
    <n v="4.5999999999999996"/>
    <x v="3"/>
    <x v="143"/>
    <x v="137"/>
  </r>
  <r>
    <s v="ORD-1145"/>
    <d v="2025-10-15T00:00:00"/>
    <x v="3"/>
    <x v="0"/>
    <x v="5"/>
    <n v="43"/>
    <n v="1236"/>
    <x v="143"/>
    <n v="9566.64"/>
    <n v="440"/>
    <n v="0"/>
    <x v="144"/>
    <s v="Shipped"/>
    <n v="3.5"/>
    <x v="1"/>
    <x v="144"/>
    <x v="138"/>
  </r>
  <r>
    <s v="ORD-1146"/>
    <d v="2025-06-08T00:00:00"/>
    <x v="2"/>
    <x v="3"/>
    <x v="1"/>
    <n v="12"/>
    <n v="273"/>
    <x v="144"/>
    <n v="589.67999999999995"/>
    <n v="122"/>
    <n v="20"/>
    <x v="145"/>
    <s v="Cancelled"/>
    <n v="3.8"/>
    <x v="8"/>
    <x v="145"/>
    <x v="139"/>
  </r>
  <r>
    <s v="ORD-1147"/>
    <d v="2025-11-21T00:00:00"/>
    <x v="0"/>
    <x v="0"/>
    <x v="9"/>
    <n v="14"/>
    <n v="1292"/>
    <x v="145"/>
    <n v="3255.84"/>
    <n v="239"/>
    <n v="15"/>
    <x v="146"/>
    <s v="In-Progress"/>
    <n v="3.7"/>
    <x v="0"/>
    <x v="146"/>
    <x v="140"/>
  </r>
  <r>
    <s v="ORD-1148"/>
    <d v="2025-06-09T00:00:00"/>
    <x v="2"/>
    <x v="0"/>
    <x v="1"/>
    <n v="10"/>
    <n v="1180"/>
    <x v="146"/>
    <n v="2124"/>
    <n v="189"/>
    <n v="20"/>
    <x v="147"/>
    <s v="Shipped"/>
    <n v="4.3"/>
    <x v="8"/>
    <x v="147"/>
    <x v="141"/>
  </r>
  <r>
    <s v="ORD-1149"/>
    <d v="2025-08-15T00:00:00"/>
    <x v="4"/>
    <x v="1"/>
    <x v="5"/>
    <n v="29"/>
    <n v="1062"/>
    <x v="147"/>
    <n v="5543.6399999999994"/>
    <n v="108"/>
    <n v="10"/>
    <x v="148"/>
    <s v="Shipped"/>
    <n v="4.5"/>
    <x v="6"/>
    <x v="148"/>
    <x v="142"/>
  </r>
  <r>
    <s v="ORD-1150"/>
    <d v="2025-06-26T00:00:00"/>
    <x v="4"/>
    <x v="0"/>
    <x v="0"/>
    <n v="44"/>
    <n v="1349"/>
    <x v="148"/>
    <n v="10684.08"/>
    <n v="162"/>
    <n v="20"/>
    <x v="149"/>
    <s v="Cancelled"/>
    <n v="3.6"/>
    <x v="8"/>
    <x v="149"/>
    <x v="143"/>
  </r>
  <r>
    <s v="ORD-1151"/>
    <d v="2025-07-22T00:00:00"/>
    <x v="3"/>
    <x v="0"/>
    <x v="1"/>
    <n v="14"/>
    <n v="1254"/>
    <x v="149"/>
    <n v="3160.08"/>
    <n v="198"/>
    <n v="5"/>
    <x v="150"/>
    <s v="Shipped"/>
    <n v="4.5"/>
    <x v="5"/>
    <x v="150"/>
    <x v="16"/>
  </r>
  <r>
    <s v="ORD-1152"/>
    <d v="2025-06-17T00:00:00"/>
    <x v="0"/>
    <x v="0"/>
    <x v="4"/>
    <n v="48"/>
    <n v="1320"/>
    <x v="150"/>
    <n v="11404.8"/>
    <n v="410"/>
    <n v="5"/>
    <x v="151"/>
    <s v="Shipped"/>
    <n v="3.8"/>
    <x v="8"/>
    <x v="151"/>
    <x v="144"/>
  </r>
  <r>
    <s v="ORD-1153"/>
    <d v="2025-04-28T00:00:00"/>
    <x v="3"/>
    <x v="3"/>
    <x v="8"/>
    <n v="26"/>
    <n v="221"/>
    <x v="151"/>
    <n v="1034.28"/>
    <n v="89"/>
    <n v="15"/>
    <x v="152"/>
    <s v="Shipped"/>
    <n v="3.9"/>
    <x v="10"/>
    <x v="152"/>
    <x v="145"/>
  </r>
  <r>
    <s v="ORD-1154"/>
    <d v="2025-06-10T00:00:00"/>
    <x v="3"/>
    <x v="1"/>
    <x v="5"/>
    <n v="26"/>
    <n v="1063"/>
    <x v="152"/>
    <n v="4974.84"/>
    <n v="216"/>
    <n v="10"/>
    <x v="153"/>
    <s v="Shipped"/>
    <n v="3.8"/>
    <x v="8"/>
    <x v="153"/>
    <x v="146"/>
  </r>
  <r>
    <s v="ORD-1155"/>
    <d v="2025-03-29T00:00:00"/>
    <x v="3"/>
    <x v="1"/>
    <x v="3"/>
    <n v="6"/>
    <n v="1073"/>
    <x v="153"/>
    <n v="1158.8399999999999"/>
    <n v="255"/>
    <n v="0"/>
    <x v="154"/>
    <s v="Shipped"/>
    <n v="3.9"/>
    <x v="9"/>
    <x v="154"/>
    <x v="147"/>
  </r>
  <r>
    <s v="ORD-1156"/>
    <d v="2025-09-26T00:00:00"/>
    <x v="0"/>
    <x v="1"/>
    <x v="0"/>
    <n v="48"/>
    <n v="1023"/>
    <x v="154"/>
    <n v="8838.7199999999993"/>
    <n v="89"/>
    <n v="5"/>
    <x v="155"/>
    <s v="In-Progress"/>
    <n v="4.5999999999999996"/>
    <x v="7"/>
    <x v="155"/>
    <x v="148"/>
  </r>
  <r>
    <s v="ORD-1157"/>
    <d v="2025-09-19T00:00:00"/>
    <x v="0"/>
    <x v="2"/>
    <x v="3"/>
    <n v="23"/>
    <n v="775"/>
    <x v="155"/>
    <n v="3208.5"/>
    <n v="151"/>
    <n v="5"/>
    <x v="156"/>
    <s v="Shipped"/>
    <n v="3.3"/>
    <x v="7"/>
    <x v="156"/>
    <x v="149"/>
  </r>
  <r>
    <s v="ORD-1158"/>
    <d v="2025-03-30T00:00:00"/>
    <x v="3"/>
    <x v="2"/>
    <x v="8"/>
    <n v="12"/>
    <n v="952"/>
    <x v="156"/>
    <n v="2056.3200000000002"/>
    <n v="279"/>
    <n v="15"/>
    <x v="157"/>
    <s v="Cancelled"/>
    <n v="4.5"/>
    <x v="9"/>
    <x v="157"/>
    <x v="150"/>
  </r>
  <r>
    <s v="ORD-1159"/>
    <d v="2025-12-15T00:00:00"/>
    <x v="3"/>
    <x v="3"/>
    <x v="3"/>
    <n v="10"/>
    <n v="425"/>
    <x v="157"/>
    <n v="765"/>
    <n v="205"/>
    <n v="0"/>
    <x v="158"/>
    <s v="In-Progress"/>
    <n v="3.9"/>
    <x v="4"/>
    <x v="158"/>
    <x v="151"/>
  </r>
  <r>
    <s v="ORD-1160"/>
    <d v="2025-05-21T00:00:00"/>
    <x v="3"/>
    <x v="0"/>
    <x v="3"/>
    <n v="33"/>
    <n v="1137"/>
    <x v="158"/>
    <n v="6753.78"/>
    <n v="79"/>
    <n v="10"/>
    <x v="159"/>
    <s v="In-Progress"/>
    <n v="3.9"/>
    <x v="2"/>
    <x v="159"/>
    <x v="152"/>
  </r>
  <r>
    <s v="ORD-1161"/>
    <d v="2025-07-08T00:00:00"/>
    <x v="2"/>
    <x v="0"/>
    <x v="8"/>
    <n v="40"/>
    <n v="1359"/>
    <x v="159"/>
    <n v="9784.7999999999993"/>
    <n v="455"/>
    <n v="15"/>
    <x v="160"/>
    <s v="In-Progress"/>
    <n v="4.2"/>
    <x v="5"/>
    <x v="160"/>
    <x v="153"/>
  </r>
  <r>
    <s v="ORD-1162"/>
    <d v="2025-01-22T00:00:00"/>
    <x v="4"/>
    <x v="2"/>
    <x v="3"/>
    <n v="39"/>
    <n v="943"/>
    <x v="160"/>
    <n v="6619.86"/>
    <n v="280"/>
    <n v="20"/>
    <x v="161"/>
    <s v="Shipped"/>
    <n v="4.9000000000000004"/>
    <x v="11"/>
    <x v="161"/>
    <x v="154"/>
  </r>
  <r>
    <s v="ORD-1163"/>
    <d v="2025-02-22T00:00:00"/>
    <x v="2"/>
    <x v="0"/>
    <x v="9"/>
    <n v="42"/>
    <n v="1188"/>
    <x v="161"/>
    <n v="8981.2799999999988"/>
    <n v="274"/>
    <n v="0"/>
    <x v="162"/>
    <s v="Shipped"/>
    <n v="4.4000000000000004"/>
    <x v="3"/>
    <x v="162"/>
    <x v="155"/>
  </r>
  <r>
    <s v="ORD-1164"/>
    <d v="2025-09-26T00:00:00"/>
    <x v="3"/>
    <x v="2"/>
    <x v="3"/>
    <n v="24"/>
    <n v="844"/>
    <x v="162"/>
    <n v="3646.08"/>
    <n v="397"/>
    <n v="15"/>
    <x v="163"/>
    <s v="In-Progress"/>
    <n v="4.5"/>
    <x v="7"/>
    <x v="163"/>
    <x v="156"/>
  </r>
  <r>
    <s v="ORD-1165"/>
    <d v="2025-11-03T00:00:00"/>
    <x v="0"/>
    <x v="3"/>
    <x v="8"/>
    <n v="22"/>
    <n v="248"/>
    <x v="163"/>
    <n v="982.07999999999993"/>
    <n v="179"/>
    <n v="20"/>
    <x v="164"/>
    <s v="Cancelled"/>
    <n v="3.8"/>
    <x v="0"/>
    <x v="164"/>
    <x v="157"/>
  </r>
  <r>
    <s v="ORD-1166"/>
    <d v="2025-12-03T00:00:00"/>
    <x v="3"/>
    <x v="2"/>
    <x v="3"/>
    <n v="6"/>
    <n v="998"/>
    <x v="164"/>
    <n v="1077.8399999999999"/>
    <n v="385"/>
    <n v="5"/>
    <x v="165"/>
    <s v="In-Progress"/>
    <n v="3.6"/>
    <x v="4"/>
    <x v="165"/>
    <x v="158"/>
  </r>
  <r>
    <s v="ORD-1167"/>
    <d v="2025-12-24T00:00:00"/>
    <x v="4"/>
    <x v="2"/>
    <x v="5"/>
    <n v="46"/>
    <n v="743"/>
    <x v="165"/>
    <n v="6152.04"/>
    <n v="455"/>
    <n v="10"/>
    <x v="166"/>
    <s v="Cancelled"/>
    <n v="3.8"/>
    <x v="4"/>
    <x v="166"/>
    <x v="159"/>
  </r>
  <r>
    <s v="ORD-1168"/>
    <d v="2025-06-18T00:00:00"/>
    <x v="1"/>
    <x v="0"/>
    <x v="6"/>
    <n v="33"/>
    <n v="1285"/>
    <x v="166"/>
    <n v="7632.9"/>
    <n v="159"/>
    <n v="0"/>
    <x v="167"/>
    <s v="In-Progress"/>
    <n v="3.6"/>
    <x v="8"/>
    <x v="167"/>
    <x v="160"/>
  </r>
  <r>
    <s v="ORD-1169"/>
    <d v="2025-06-24T00:00:00"/>
    <x v="4"/>
    <x v="2"/>
    <x v="2"/>
    <n v="9"/>
    <n v="779"/>
    <x v="167"/>
    <n v="1261.98"/>
    <n v="101"/>
    <n v="0"/>
    <x v="168"/>
    <s v="In-Progress"/>
    <n v="4.7"/>
    <x v="8"/>
    <x v="168"/>
    <x v="161"/>
  </r>
  <r>
    <s v="ORD-1170"/>
    <d v="2025-09-17T00:00:00"/>
    <x v="3"/>
    <x v="0"/>
    <x v="3"/>
    <n v="50"/>
    <n v="1167"/>
    <x v="168"/>
    <n v="10503"/>
    <n v="142"/>
    <n v="20"/>
    <x v="169"/>
    <s v="In-Progress"/>
    <n v="3.3"/>
    <x v="7"/>
    <x v="169"/>
    <x v="162"/>
  </r>
  <r>
    <s v="ORD-1171"/>
    <d v="2025-12-21T00:00:00"/>
    <x v="3"/>
    <x v="2"/>
    <x v="4"/>
    <n v="3"/>
    <n v="910"/>
    <x v="169"/>
    <n v="491.4"/>
    <n v="277"/>
    <n v="10"/>
    <x v="170"/>
    <s v="Cancelled"/>
    <n v="4.4000000000000004"/>
    <x v="4"/>
    <x v="170"/>
    <x v="163"/>
  </r>
  <r>
    <s v="ORD-1172"/>
    <d v="2025-11-09T00:00:00"/>
    <x v="2"/>
    <x v="1"/>
    <x v="2"/>
    <n v="35"/>
    <n v="972"/>
    <x v="170"/>
    <n v="6123.5999999999995"/>
    <n v="149"/>
    <n v="10"/>
    <x v="171"/>
    <s v="In-Progress"/>
    <n v="4.8"/>
    <x v="0"/>
    <x v="171"/>
    <x v="164"/>
  </r>
  <r>
    <s v="ORD-1173"/>
    <d v="2025-07-08T00:00:00"/>
    <x v="3"/>
    <x v="1"/>
    <x v="4"/>
    <n v="50"/>
    <n v="994"/>
    <x v="171"/>
    <n v="8946"/>
    <n v="132"/>
    <n v="15"/>
    <x v="172"/>
    <s v="Cancelled"/>
    <n v="4.0999999999999996"/>
    <x v="5"/>
    <x v="172"/>
    <x v="165"/>
  </r>
  <r>
    <s v="ORD-1174"/>
    <d v="2025-04-13T00:00:00"/>
    <x v="3"/>
    <x v="2"/>
    <x v="0"/>
    <n v="4"/>
    <n v="946"/>
    <x v="97"/>
    <n v="681.12"/>
    <n v="414"/>
    <n v="10"/>
    <x v="173"/>
    <s v="Cancelled"/>
    <n v="4.9000000000000004"/>
    <x v="10"/>
    <x v="173"/>
    <x v="166"/>
  </r>
  <r>
    <s v="ORD-1175"/>
    <d v="2025-09-22T00:00:00"/>
    <x v="0"/>
    <x v="3"/>
    <x v="8"/>
    <n v="49"/>
    <n v="282"/>
    <x v="172"/>
    <n v="2487.2399999999998"/>
    <n v="125"/>
    <n v="10"/>
    <x v="174"/>
    <s v="In-Progress"/>
    <n v="4.8"/>
    <x v="7"/>
    <x v="174"/>
    <x v="167"/>
  </r>
  <r>
    <s v="ORD-1176"/>
    <d v="2025-08-12T00:00:00"/>
    <x v="0"/>
    <x v="2"/>
    <x v="4"/>
    <n v="23"/>
    <n v="713"/>
    <x v="173"/>
    <n v="2951.82"/>
    <n v="241"/>
    <n v="15"/>
    <x v="175"/>
    <s v="Shipped"/>
    <n v="3.8"/>
    <x v="6"/>
    <x v="175"/>
    <x v="168"/>
  </r>
  <r>
    <s v="ORD-1177"/>
    <d v="2025-05-01T00:00:00"/>
    <x v="4"/>
    <x v="0"/>
    <x v="3"/>
    <n v="15"/>
    <n v="1114"/>
    <x v="174"/>
    <n v="3007.8"/>
    <n v="382"/>
    <n v="10"/>
    <x v="176"/>
    <s v="Shipped"/>
    <n v="4.7"/>
    <x v="2"/>
    <x v="176"/>
    <x v="92"/>
  </r>
  <r>
    <s v="ORD-1178"/>
    <d v="2025-06-21T00:00:00"/>
    <x v="1"/>
    <x v="2"/>
    <x v="1"/>
    <n v="19"/>
    <n v="941"/>
    <x v="175"/>
    <n v="3218.22"/>
    <n v="365"/>
    <n v="5"/>
    <x v="177"/>
    <s v="Cancelled"/>
    <n v="3.9"/>
    <x v="8"/>
    <x v="177"/>
    <x v="169"/>
  </r>
  <r>
    <s v="ORD-1179"/>
    <d v="2025-01-03T00:00:00"/>
    <x v="0"/>
    <x v="0"/>
    <x v="0"/>
    <n v="14"/>
    <n v="1176"/>
    <x v="176"/>
    <n v="2963.52"/>
    <n v="266"/>
    <n v="20"/>
    <x v="178"/>
    <s v="Cancelled"/>
    <n v="4.2"/>
    <x v="11"/>
    <x v="178"/>
    <x v="170"/>
  </r>
  <r>
    <s v="ORD-1180"/>
    <d v="2025-02-26T00:00:00"/>
    <x v="2"/>
    <x v="2"/>
    <x v="0"/>
    <n v="8"/>
    <n v="724"/>
    <x v="177"/>
    <n v="1042.56"/>
    <n v="368"/>
    <n v="5"/>
    <x v="179"/>
    <s v="In-Progress"/>
    <n v="4.3"/>
    <x v="3"/>
    <x v="179"/>
    <x v="171"/>
  </r>
  <r>
    <s v="ORD-1181"/>
    <d v="2025-08-23T00:00:00"/>
    <x v="0"/>
    <x v="0"/>
    <x v="4"/>
    <n v="39"/>
    <n v="1374"/>
    <x v="178"/>
    <n v="9645.48"/>
    <n v="173"/>
    <n v="0"/>
    <x v="180"/>
    <s v="Cancelled"/>
    <n v="4"/>
    <x v="6"/>
    <x v="180"/>
    <x v="172"/>
  </r>
  <r>
    <s v="ORD-1182"/>
    <d v="2025-03-15T00:00:00"/>
    <x v="2"/>
    <x v="1"/>
    <x v="1"/>
    <n v="40"/>
    <n v="1030"/>
    <x v="179"/>
    <n v="7416"/>
    <n v="390"/>
    <n v="5"/>
    <x v="181"/>
    <s v="Cancelled"/>
    <n v="3.8"/>
    <x v="9"/>
    <x v="181"/>
    <x v="173"/>
  </r>
  <r>
    <s v="ORD-1183"/>
    <d v="2025-12-09T00:00:00"/>
    <x v="0"/>
    <x v="3"/>
    <x v="8"/>
    <n v="34"/>
    <n v="478"/>
    <x v="180"/>
    <n v="2925.36"/>
    <n v="249"/>
    <n v="20"/>
    <x v="182"/>
    <s v="Cancelled"/>
    <n v="4.0999999999999996"/>
    <x v="4"/>
    <x v="182"/>
    <x v="174"/>
  </r>
  <r>
    <s v="ORD-1184"/>
    <d v="2025-08-29T00:00:00"/>
    <x v="0"/>
    <x v="1"/>
    <x v="3"/>
    <n v="17"/>
    <n v="858"/>
    <x v="181"/>
    <n v="2625.48"/>
    <n v="425"/>
    <n v="10"/>
    <x v="183"/>
    <s v="Shipped"/>
    <n v="3.7"/>
    <x v="6"/>
    <x v="183"/>
    <x v="175"/>
  </r>
  <r>
    <s v="ORD-1185"/>
    <d v="2025-12-03T00:00:00"/>
    <x v="0"/>
    <x v="3"/>
    <x v="7"/>
    <n v="3"/>
    <n v="380"/>
    <x v="182"/>
    <n v="205.2"/>
    <n v="139"/>
    <n v="20"/>
    <x v="184"/>
    <s v="In-Progress"/>
    <n v="4.5999999999999996"/>
    <x v="4"/>
    <x v="184"/>
    <x v="176"/>
  </r>
  <r>
    <s v="ORD-1186"/>
    <d v="2025-12-17T00:00:00"/>
    <x v="4"/>
    <x v="1"/>
    <x v="7"/>
    <n v="9"/>
    <n v="882"/>
    <x v="183"/>
    <n v="1428.84"/>
    <n v="72"/>
    <n v="15"/>
    <x v="185"/>
    <s v="Shipped"/>
    <n v="3.6"/>
    <x v="4"/>
    <x v="185"/>
    <x v="177"/>
  </r>
  <r>
    <s v="ORD-1187"/>
    <d v="2025-04-13T00:00:00"/>
    <x v="0"/>
    <x v="3"/>
    <x v="0"/>
    <n v="33"/>
    <n v="403"/>
    <x v="184"/>
    <n v="2393.8200000000002"/>
    <n v="435"/>
    <n v="20"/>
    <x v="186"/>
    <s v="In-Progress"/>
    <n v="3.5"/>
    <x v="10"/>
    <x v="186"/>
    <x v="178"/>
  </r>
  <r>
    <s v="ORD-1188"/>
    <d v="2025-11-28T00:00:00"/>
    <x v="1"/>
    <x v="3"/>
    <x v="3"/>
    <n v="50"/>
    <n v="224"/>
    <x v="185"/>
    <n v="2016"/>
    <n v="238"/>
    <n v="10"/>
    <x v="187"/>
    <s v="In-Progress"/>
    <n v="3.2"/>
    <x v="0"/>
    <x v="187"/>
    <x v="179"/>
  </r>
  <r>
    <s v="ORD-1189"/>
    <d v="2025-08-12T00:00:00"/>
    <x v="4"/>
    <x v="1"/>
    <x v="6"/>
    <n v="22"/>
    <n v="945"/>
    <x v="186"/>
    <n v="3742.2"/>
    <n v="458"/>
    <n v="15"/>
    <x v="188"/>
    <s v="Cancelled"/>
    <n v="4"/>
    <x v="6"/>
    <x v="188"/>
    <x v="180"/>
  </r>
  <r>
    <s v="ORD-1190"/>
    <d v="2025-09-23T00:00:00"/>
    <x v="2"/>
    <x v="0"/>
    <x v="6"/>
    <n v="6"/>
    <n v="1320"/>
    <x v="187"/>
    <n v="1425.6"/>
    <n v="214"/>
    <n v="20"/>
    <x v="189"/>
    <s v="Shipped"/>
    <n v="4.0999999999999996"/>
    <x v="7"/>
    <x v="189"/>
    <x v="181"/>
  </r>
  <r>
    <s v="ORD-1191"/>
    <d v="2025-02-22T00:00:00"/>
    <x v="0"/>
    <x v="3"/>
    <x v="0"/>
    <n v="20"/>
    <n v="428"/>
    <x v="188"/>
    <n v="1540.8"/>
    <n v="403"/>
    <n v="20"/>
    <x v="190"/>
    <s v="Cancelled"/>
    <n v="3.9"/>
    <x v="3"/>
    <x v="190"/>
    <x v="182"/>
  </r>
  <r>
    <s v="ORD-1192"/>
    <d v="2025-08-16T00:00:00"/>
    <x v="2"/>
    <x v="1"/>
    <x v="1"/>
    <n v="47"/>
    <n v="1030"/>
    <x v="189"/>
    <n v="8713.7999999999993"/>
    <n v="455"/>
    <n v="20"/>
    <x v="191"/>
    <s v="In-Progress"/>
    <n v="3.5"/>
    <x v="6"/>
    <x v="191"/>
    <x v="166"/>
  </r>
  <r>
    <s v="ORD-1193"/>
    <d v="2025-01-30T00:00:00"/>
    <x v="0"/>
    <x v="1"/>
    <x v="3"/>
    <n v="33"/>
    <n v="931"/>
    <x v="190"/>
    <n v="5530.1399999999994"/>
    <n v="397"/>
    <n v="0"/>
    <x v="192"/>
    <s v="Shipped"/>
    <n v="4.7"/>
    <x v="11"/>
    <x v="192"/>
    <x v="183"/>
  </r>
  <r>
    <s v="ORD-1194"/>
    <d v="2025-08-13T00:00:00"/>
    <x v="0"/>
    <x v="2"/>
    <x v="8"/>
    <n v="16"/>
    <n v="887"/>
    <x v="191"/>
    <n v="2554.56"/>
    <n v="66"/>
    <n v="10"/>
    <x v="193"/>
    <s v="In-Progress"/>
    <n v="4.9000000000000004"/>
    <x v="6"/>
    <x v="193"/>
    <x v="184"/>
  </r>
  <r>
    <s v="ORD-1195"/>
    <d v="2025-11-06T00:00:00"/>
    <x v="1"/>
    <x v="1"/>
    <x v="3"/>
    <n v="24"/>
    <n v="1077"/>
    <x v="192"/>
    <n v="4652.6399999999994"/>
    <n v="237"/>
    <n v="0"/>
    <x v="194"/>
    <s v="Cancelled"/>
    <n v="3.3"/>
    <x v="0"/>
    <x v="194"/>
    <x v="132"/>
  </r>
  <r>
    <s v="ORD-1196"/>
    <d v="2025-07-23T00:00:00"/>
    <x v="2"/>
    <x v="3"/>
    <x v="2"/>
    <n v="8"/>
    <n v="213"/>
    <x v="193"/>
    <n v="306.72000000000003"/>
    <n v="337"/>
    <n v="5"/>
    <x v="195"/>
    <s v="In-Progress"/>
    <n v="4"/>
    <x v="5"/>
    <x v="195"/>
    <x v="185"/>
  </r>
  <r>
    <s v="ORD-1197"/>
    <d v="2025-03-02T00:00:00"/>
    <x v="2"/>
    <x v="3"/>
    <x v="4"/>
    <n v="14"/>
    <n v="346"/>
    <x v="194"/>
    <n v="871.92"/>
    <n v="486"/>
    <n v="15"/>
    <x v="196"/>
    <s v="Shipped"/>
    <n v="3.2"/>
    <x v="9"/>
    <x v="196"/>
    <x v="186"/>
  </r>
  <r>
    <s v="ORD-1198"/>
    <d v="2025-02-07T00:00:00"/>
    <x v="4"/>
    <x v="2"/>
    <x v="4"/>
    <n v="6"/>
    <n v="863"/>
    <x v="195"/>
    <n v="932.04"/>
    <n v="327"/>
    <n v="10"/>
    <x v="197"/>
    <s v="Cancelled"/>
    <n v="3.1"/>
    <x v="3"/>
    <x v="197"/>
    <x v="140"/>
  </r>
  <r>
    <s v="ORD-1199"/>
    <d v="2025-05-29T00:00:00"/>
    <x v="2"/>
    <x v="2"/>
    <x v="7"/>
    <n v="24"/>
    <n v="960"/>
    <x v="196"/>
    <n v="4147.2"/>
    <n v="455"/>
    <n v="5"/>
    <x v="198"/>
    <s v="Shipped"/>
    <n v="5"/>
    <x v="2"/>
    <x v="198"/>
    <x v="187"/>
  </r>
  <r>
    <s v="ORD-1200"/>
    <d v="2025-03-13T00:00:00"/>
    <x v="1"/>
    <x v="1"/>
    <x v="1"/>
    <n v="24"/>
    <n v="1133"/>
    <x v="197"/>
    <n v="4894.5599999999986"/>
    <n v="332"/>
    <n v="20"/>
    <x v="199"/>
    <s v="In-Progress"/>
    <n v="3.9"/>
    <x v="9"/>
    <x v="199"/>
    <x v="188"/>
  </r>
  <r>
    <s v="ORD-1201"/>
    <d v="2025-03-08T00:00:00"/>
    <x v="3"/>
    <x v="0"/>
    <x v="8"/>
    <n v="20"/>
    <n v="1303"/>
    <x v="198"/>
    <n v="4690.8"/>
    <n v="259"/>
    <n v="15"/>
    <x v="200"/>
    <s v="Cancelled"/>
    <n v="3.8"/>
    <x v="9"/>
    <x v="200"/>
    <x v="189"/>
  </r>
  <r>
    <s v="ORD-1202"/>
    <d v="2025-10-22T00:00:00"/>
    <x v="0"/>
    <x v="2"/>
    <x v="3"/>
    <n v="42"/>
    <n v="737"/>
    <x v="199"/>
    <n v="5571.7199999999993"/>
    <n v="226"/>
    <n v="15"/>
    <x v="201"/>
    <s v="In-Progress"/>
    <n v="4.4000000000000004"/>
    <x v="1"/>
    <x v="201"/>
    <x v="190"/>
  </r>
  <r>
    <s v="ORD-1203"/>
    <d v="2025-03-07T00:00:00"/>
    <x v="3"/>
    <x v="2"/>
    <x v="7"/>
    <n v="28"/>
    <n v="957"/>
    <x v="200"/>
    <n v="4823.28"/>
    <n v="205"/>
    <n v="0"/>
    <x v="202"/>
    <s v="Shipped"/>
    <n v="4"/>
    <x v="9"/>
    <x v="202"/>
    <x v="191"/>
  </r>
  <r>
    <s v="ORD-1204"/>
    <d v="2025-03-26T00:00:00"/>
    <x v="1"/>
    <x v="3"/>
    <x v="2"/>
    <n v="23"/>
    <n v="465"/>
    <x v="201"/>
    <n v="1925.1"/>
    <n v="375"/>
    <n v="10"/>
    <x v="203"/>
    <s v="Shipped"/>
    <n v="3.5"/>
    <x v="9"/>
    <x v="203"/>
    <x v="192"/>
  </r>
  <r>
    <s v="ORD-1205"/>
    <d v="2025-10-10T00:00:00"/>
    <x v="2"/>
    <x v="2"/>
    <x v="0"/>
    <n v="40"/>
    <n v="973"/>
    <x v="202"/>
    <n v="7005.5999999999995"/>
    <n v="353"/>
    <n v="0"/>
    <x v="204"/>
    <s v="Cancelled"/>
    <n v="4.3"/>
    <x v="1"/>
    <x v="204"/>
    <x v="193"/>
  </r>
  <r>
    <s v="ORD-1206"/>
    <d v="2025-10-25T00:00:00"/>
    <x v="1"/>
    <x v="2"/>
    <x v="5"/>
    <n v="47"/>
    <n v="872"/>
    <x v="203"/>
    <n v="7377.12"/>
    <n v="64"/>
    <n v="20"/>
    <x v="205"/>
    <s v="Shipped"/>
    <n v="4.7"/>
    <x v="1"/>
    <x v="205"/>
    <x v="194"/>
  </r>
  <r>
    <s v="ORD-1207"/>
    <d v="2025-02-11T00:00:00"/>
    <x v="0"/>
    <x v="3"/>
    <x v="2"/>
    <n v="50"/>
    <n v="492"/>
    <x v="204"/>
    <n v="4428"/>
    <n v="304"/>
    <n v="15"/>
    <x v="206"/>
    <s v="Cancelled"/>
    <n v="4.3"/>
    <x v="3"/>
    <x v="206"/>
    <x v="195"/>
  </r>
  <r>
    <s v="ORD-1208"/>
    <d v="2025-11-18T00:00:00"/>
    <x v="3"/>
    <x v="3"/>
    <x v="0"/>
    <n v="31"/>
    <n v="325"/>
    <x v="205"/>
    <n v="1813.5"/>
    <n v="402"/>
    <n v="15"/>
    <x v="207"/>
    <s v="In-Progress"/>
    <n v="3.9"/>
    <x v="0"/>
    <x v="207"/>
    <x v="196"/>
  </r>
  <r>
    <s v="ORD-1209"/>
    <d v="2025-01-31T00:00:00"/>
    <x v="1"/>
    <x v="1"/>
    <x v="6"/>
    <n v="31"/>
    <n v="1087"/>
    <x v="206"/>
    <n v="6065.46"/>
    <n v="210"/>
    <n v="5"/>
    <x v="208"/>
    <s v="In-Progress"/>
    <n v="4.2"/>
    <x v="11"/>
    <x v="208"/>
    <x v="197"/>
  </r>
  <r>
    <s v="ORD-1210"/>
    <d v="2025-06-13T00:00:00"/>
    <x v="2"/>
    <x v="1"/>
    <x v="7"/>
    <n v="49"/>
    <n v="1039"/>
    <x v="207"/>
    <n v="9163.98"/>
    <n v="173"/>
    <n v="20"/>
    <x v="209"/>
    <s v="Cancelled"/>
    <n v="3.2"/>
    <x v="8"/>
    <x v="209"/>
    <x v="198"/>
  </r>
  <r>
    <s v="ORD-1211"/>
    <d v="2025-08-27T00:00:00"/>
    <x v="0"/>
    <x v="3"/>
    <x v="4"/>
    <n v="16"/>
    <n v="272"/>
    <x v="208"/>
    <n v="783.36"/>
    <n v="246"/>
    <n v="0"/>
    <x v="210"/>
    <s v="Shipped"/>
    <n v="3.6"/>
    <x v="6"/>
    <x v="210"/>
    <x v="144"/>
  </r>
  <r>
    <s v="ORD-1212"/>
    <d v="2025-11-12T00:00:00"/>
    <x v="4"/>
    <x v="2"/>
    <x v="7"/>
    <n v="21"/>
    <n v="995"/>
    <x v="209"/>
    <n v="3761.1"/>
    <n v="305"/>
    <n v="10"/>
    <x v="211"/>
    <s v="Shipped"/>
    <n v="4.5"/>
    <x v="0"/>
    <x v="211"/>
    <x v="199"/>
  </r>
  <r>
    <s v="ORD-1213"/>
    <d v="2025-09-21T00:00:00"/>
    <x v="4"/>
    <x v="1"/>
    <x v="0"/>
    <n v="32"/>
    <n v="861"/>
    <x v="210"/>
    <n v="4959.3599999999997"/>
    <n v="173"/>
    <n v="0"/>
    <x v="212"/>
    <s v="In-Progress"/>
    <n v="4"/>
    <x v="7"/>
    <x v="212"/>
    <x v="200"/>
  </r>
  <r>
    <s v="ORD-1214"/>
    <d v="2025-04-21T00:00:00"/>
    <x v="3"/>
    <x v="3"/>
    <x v="1"/>
    <n v="4"/>
    <n v="344"/>
    <x v="211"/>
    <n v="247.68"/>
    <n v="384"/>
    <n v="15"/>
    <x v="213"/>
    <s v="Cancelled"/>
    <n v="4.8"/>
    <x v="10"/>
    <x v="213"/>
    <x v="201"/>
  </r>
  <r>
    <s v="ORD-1215"/>
    <d v="2025-12-11T00:00:00"/>
    <x v="4"/>
    <x v="3"/>
    <x v="9"/>
    <n v="1"/>
    <n v="255"/>
    <x v="212"/>
    <n v="45.9"/>
    <n v="422"/>
    <n v="15"/>
    <x v="214"/>
    <s v="Shipped"/>
    <n v="4.8"/>
    <x v="4"/>
    <x v="214"/>
    <x v="202"/>
  </r>
  <r>
    <s v="ORD-1216"/>
    <d v="2025-07-07T00:00:00"/>
    <x v="4"/>
    <x v="3"/>
    <x v="1"/>
    <n v="26"/>
    <n v="226"/>
    <x v="213"/>
    <n v="1057.68"/>
    <n v="333"/>
    <n v="20"/>
    <x v="215"/>
    <s v="Cancelled"/>
    <n v="3.4"/>
    <x v="5"/>
    <x v="215"/>
    <x v="203"/>
  </r>
  <r>
    <s v="ORD-1217"/>
    <d v="2025-05-28T00:00:00"/>
    <x v="0"/>
    <x v="1"/>
    <x v="9"/>
    <n v="29"/>
    <n v="1131"/>
    <x v="214"/>
    <n v="5903.82"/>
    <n v="110"/>
    <n v="10"/>
    <x v="216"/>
    <s v="Cancelled"/>
    <n v="4.4000000000000004"/>
    <x v="2"/>
    <x v="216"/>
    <x v="204"/>
  </r>
  <r>
    <s v="ORD-1218"/>
    <d v="2025-03-07T00:00:00"/>
    <x v="0"/>
    <x v="1"/>
    <x v="3"/>
    <n v="22"/>
    <n v="1135"/>
    <x v="215"/>
    <n v="4494.5999999999995"/>
    <n v="310"/>
    <n v="10"/>
    <x v="217"/>
    <s v="Shipped"/>
    <n v="3.4"/>
    <x v="9"/>
    <x v="217"/>
    <x v="205"/>
  </r>
  <r>
    <s v="ORD-1219"/>
    <d v="2025-07-25T00:00:00"/>
    <x v="3"/>
    <x v="0"/>
    <x v="1"/>
    <n v="3"/>
    <n v="1170"/>
    <x v="216"/>
    <n v="631.79999999999995"/>
    <n v="126"/>
    <n v="10"/>
    <x v="218"/>
    <s v="In-Progress"/>
    <n v="4"/>
    <x v="5"/>
    <x v="218"/>
    <x v="206"/>
  </r>
  <r>
    <s v="ORD-1220"/>
    <d v="2025-11-07T00:00:00"/>
    <x v="3"/>
    <x v="2"/>
    <x v="3"/>
    <n v="40"/>
    <n v="863"/>
    <x v="217"/>
    <n v="6213.5999999999995"/>
    <n v="428"/>
    <n v="5"/>
    <x v="219"/>
    <s v="In-Progress"/>
    <n v="5"/>
    <x v="0"/>
    <x v="219"/>
    <x v="207"/>
  </r>
  <r>
    <s v="ORD-1221"/>
    <d v="2025-06-03T00:00:00"/>
    <x v="3"/>
    <x v="3"/>
    <x v="9"/>
    <n v="33"/>
    <n v="472"/>
    <x v="218"/>
    <n v="2803.68"/>
    <n v="293"/>
    <n v="15"/>
    <x v="220"/>
    <s v="Cancelled"/>
    <n v="4.0999999999999996"/>
    <x v="8"/>
    <x v="220"/>
    <x v="208"/>
  </r>
  <r>
    <s v="ORD-1222"/>
    <d v="2025-01-09T00:00:00"/>
    <x v="2"/>
    <x v="3"/>
    <x v="8"/>
    <n v="27"/>
    <n v="498"/>
    <x v="219"/>
    <n v="2420.2800000000002"/>
    <n v="372"/>
    <n v="10"/>
    <x v="221"/>
    <s v="Cancelled"/>
    <n v="4.7"/>
    <x v="11"/>
    <x v="221"/>
    <x v="209"/>
  </r>
  <r>
    <s v="ORD-1223"/>
    <d v="2025-01-14T00:00:00"/>
    <x v="3"/>
    <x v="1"/>
    <x v="0"/>
    <n v="42"/>
    <n v="1146"/>
    <x v="220"/>
    <n v="8663.76"/>
    <n v="348"/>
    <n v="20"/>
    <x v="222"/>
    <s v="Shipped"/>
    <n v="4.4000000000000004"/>
    <x v="11"/>
    <x v="222"/>
    <x v="210"/>
  </r>
  <r>
    <s v="ORD-1224"/>
    <d v="2025-09-03T00:00:00"/>
    <x v="1"/>
    <x v="1"/>
    <x v="7"/>
    <n v="44"/>
    <n v="974"/>
    <x v="221"/>
    <n v="7714.08"/>
    <n v="106"/>
    <n v="0"/>
    <x v="223"/>
    <s v="Cancelled"/>
    <n v="4.9000000000000004"/>
    <x v="7"/>
    <x v="223"/>
    <x v="211"/>
  </r>
  <r>
    <s v="ORD-1225"/>
    <d v="2025-04-08T00:00:00"/>
    <x v="0"/>
    <x v="1"/>
    <x v="3"/>
    <n v="27"/>
    <n v="927"/>
    <x v="222"/>
    <n v="4505.22"/>
    <n v="306"/>
    <n v="15"/>
    <x v="224"/>
    <s v="Cancelled"/>
    <n v="3.4"/>
    <x v="10"/>
    <x v="224"/>
    <x v="212"/>
  </r>
  <r>
    <s v="ORD-1226"/>
    <d v="2025-11-10T00:00:00"/>
    <x v="4"/>
    <x v="0"/>
    <x v="7"/>
    <n v="34"/>
    <n v="1206"/>
    <x v="223"/>
    <n v="7380.7199999999993"/>
    <n v="294"/>
    <n v="20"/>
    <x v="225"/>
    <s v="In-Progress"/>
    <n v="5"/>
    <x v="0"/>
    <x v="225"/>
    <x v="210"/>
  </r>
  <r>
    <s v="ORD-1227"/>
    <d v="2025-09-27T00:00:00"/>
    <x v="4"/>
    <x v="3"/>
    <x v="7"/>
    <n v="30"/>
    <n v="472"/>
    <x v="224"/>
    <n v="2548.8000000000002"/>
    <n v="445"/>
    <n v="10"/>
    <x v="226"/>
    <s v="Cancelled"/>
    <n v="3.7"/>
    <x v="7"/>
    <x v="226"/>
    <x v="213"/>
  </r>
  <r>
    <s v="ORD-1228"/>
    <d v="2025-12-15T00:00:00"/>
    <x v="2"/>
    <x v="1"/>
    <x v="2"/>
    <n v="16"/>
    <n v="992"/>
    <x v="225"/>
    <n v="2856.96"/>
    <n v="202"/>
    <n v="20"/>
    <x v="227"/>
    <s v="In-Progress"/>
    <n v="3.4"/>
    <x v="4"/>
    <x v="227"/>
    <x v="214"/>
  </r>
  <r>
    <s v="ORD-1229"/>
    <d v="2025-05-28T00:00:00"/>
    <x v="1"/>
    <x v="1"/>
    <x v="3"/>
    <n v="31"/>
    <n v="1028"/>
    <x v="226"/>
    <n v="5736.24"/>
    <n v="112"/>
    <n v="20"/>
    <x v="228"/>
    <s v="Cancelled"/>
    <n v="3.5"/>
    <x v="2"/>
    <x v="228"/>
    <x v="215"/>
  </r>
  <r>
    <s v="ORD-1230"/>
    <d v="2025-10-21T00:00:00"/>
    <x v="3"/>
    <x v="1"/>
    <x v="6"/>
    <n v="23"/>
    <n v="924"/>
    <x v="227"/>
    <n v="3825.36"/>
    <n v="415"/>
    <n v="10"/>
    <x v="229"/>
    <s v="Shipped"/>
    <n v="3.6"/>
    <x v="1"/>
    <x v="229"/>
    <x v="216"/>
  </r>
  <r>
    <s v="ORD-1231"/>
    <d v="2025-02-10T00:00:00"/>
    <x v="2"/>
    <x v="1"/>
    <x v="0"/>
    <n v="48"/>
    <n v="1095"/>
    <x v="228"/>
    <n v="9460.7999999999993"/>
    <n v="188"/>
    <n v="5"/>
    <x v="230"/>
    <s v="Shipped"/>
    <n v="4.7"/>
    <x v="3"/>
    <x v="230"/>
    <x v="217"/>
  </r>
  <r>
    <s v="ORD-1232"/>
    <d v="2025-10-15T00:00:00"/>
    <x v="2"/>
    <x v="2"/>
    <x v="8"/>
    <n v="40"/>
    <n v="1000"/>
    <x v="229"/>
    <n v="7200"/>
    <n v="321"/>
    <n v="5"/>
    <x v="231"/>
    <s v="Shipped"/>
    <n v="3.1"/>
    <x v="1"/>
    <x v="231"/>
    <x v="218"/>
  </r>
  <r>
    <s v="ORD-1233"/>
    <d v="2025-04-26T00:00:00"/>
    <x v="1"/>
    <x v="0"/>
    <x v="8"/>
    <n v="27"/>
    <n v="1269"/>
    <x v="230"/>
    <n v="6167.34"/>
    <n v="120"/>
    <n v="15"/>
    <x v="232"/>
    <s v="Shipped"/>
    <n v="4.4000000000000004"/>
    <x v="10"/>
    <x v="232"/>
    <x v="219"/>
  </r>
  <r>
    <s v="ORD-1234"/>
    <d v="2025-01-03T00:00:00"/>
    <x v="3"/>
    <x v="2"/>
    <x v="6"/>
    <n v="42"/>
    <n v="943"/>
    <x v="9"/>
    <n v="7129.08"/>
    <n v="197"/>
    <n v="15"/>
    <x v="233"/>
    <s v="Cancelled"/>
    <n v="3.4"/>
    <x v="11"/>
    <x v="233"/>
    <x v="220"/>
  </r>
  <r>
    <s v="ORD-1235"/>
    <d v="2025-06-14T00:00:00"/>
    <x v="2"/>
    <x v="0"/>
    <x v="8"/>
    <n v="42"/>
    <n v="1393"/>
    <x v="231"/>
    <n v="10531.08"/>
    <n v="485"/>
    <n v="5"/>
    <x v="234"/>
    <s v="Cancelled"/>
    <n v="4.5"/>
    <x v="8"/>
    <x v="234"/>
    <x v="221"/>
  </r>
  <r>
    <s v="ORD-1236"/>
    <d v="2025-01-20T00:00:00"/>
    <x v="1"/>
    <x v="1"/>
    <x v="7"/>
    <n v="3"/>
    <n v="1053"/>
    <x v="232"/>
    <n v="568.62"/>
    <n v="496"/>
    <n v="15"/>
    <x v="235"/>
    <s v="Shipped"/>
    <n v="4.9000000000000004"/>
    <x v="11"/>
    <x v="235"/>
    <x v="222"/>
  </r>
  <r>
    <s v="ORD-1237"/>
    <d v="2025-05-29T00:00:00"/>
    <x v="0"/>
    <x v="0"/>
    <x v="0"/>
    <n v="37"/>
    <n v="1154"/>
    <x v="233"/>
    <n v="7685.6399999999994"/>
    <n v="378"/>
    <n v="10"/>
    <x v="236"/>
    <s v="In-Progress"/>
    <n v="3.9"/>
    <x v="2"/>
    <x v="236"/>
    <x v="223"/>
  </r>
  <r>
    <s v="ORD-1238"/>
    <d v="2025-10-06T00:00:00"/>
    <x v="3"/>
    <x v="1"/>
    <x v="7"/>
    <n v="33"/>
    <n v="1089"/>
    <x v="234"/>
    <n v="6468.66"/>
    <n v="219"/>
    <n v="10"/>
    <x v="237"/>
    <s v="Shipped"/>
    <n v="4.5999999999999996"/>
    <x v="1"/>
    <x v="237"/>
    <x v="224"/>
  </r>
  <r>
    <s v="ORD-1239"/>
    <d v="2025-03-25T00:00:00"/>
    <x v="4"/>
    <x v="3"/>
    <x v="7"/>
    <n v="1"/>
    <n v="372"/>
    <x v="235"/>
    <n v="66.959999999999994"/>
    <n v="148"/>
    <n v="10"/>
    <x v="238"/>
    <s v="Cancelled"/>
    <n v="4.3"/>
    <x v="9"/>
    <x v="238"/>
    <x v="225"/>
  </r>
  <r>
    <s v="ORD-1240"/>
    <d v="2025-03-31T00:00:00"/>
    <x v="3"/>
    <x v="1"/>
    <x v="6"/>
    <n v="33"/>
    <n v="1017"/>
    <x v="236"/>
    <n v="6040.98"/>
    <n v="144"/>
    <n v="0"/>
    <x v="239"/>
    <s v="In-Progress"/>
    <n v="4.3"/>
    <x v="9"/>
    <x v="239"/>
    <x v="226"/>
  </r>
  <r>
    <s v="ORD-1241"/>
    <d v="2025-03-13T00:00:00"/>
    <x v="4"/>
    <x v="3"/>
    <x v="2"/>
    <n v="1"/>
    <n v="333"/>
    <x v="237"/>
    <n v="59.94"/>
    <n v="186"/>
    <n v="15"/>
    <x v="240"/>
    <s v="Shipped"/>
    <n v="3.9"/>
    <x v="9"/>
    <x v="240"/>
    <x v="227"/>
  </r>
  <r>
    <s v="ORD-1242"/>
    <d v="2025-06-18T00:00:00"/>
    <x v="2"/>
    <x v="0"/>
    <x v="0"/>
    <n v="42"/>
    <n v="1284"/>
    <x v="238"/>
    <n v="9707.0399999999991"/>
    <n v="288"/>
    <n v="5"/>
    <x v="241"/>
    <s v="Shipped"/>
    <n v="4.3"/>
    <x v="8"/>
    <x v="241"/>
    <x v="228"/>
  </r>
  <r>
    <s v="ORD-1243"/>
    <d v="2025-06-07T00:00:00"/>
    <x v="1"/>
    <x v="1"/>
    <x v="9"/>
    <n v="46"/>
    <n v="1009"/>
    <x v="239"/>
    <n v="8354.52"/>
    <n v="201"/>
    <n v="0"/>
    <x v="242"/>
    <s v="Cancelled"/>
    <n v="4.8"/>
    <x v="8"/>
    <x v="242"/>
    <x v="226"/>
  </r>
  <r>
    <s v="ORD-1244"/>
    <d v="2025-07-08T00:00:00"/>
    <x v="3"/>
    <x v="2"/>
    <x v="2"/>
    <n v="9"/>
    <n v="944"/>
    <x v="240"/>
    <n v="1529.28"/>
    <n v="360"/>
    <n v="5"/>
    <x v="243"/>
    <s v="In-Progress"/>
    <n v="4.5"/>
    <x v="5"/>
    <x v="243"/>
    <x v="229"/>
  </r>
  <r>
    <s v="ORD-1245"/>
    <d v="2025-07-11T00:00:00"/>
    <x v="4"/>
    <x v="1"/>
    <x v="9"/>
    <n v="43"/>
    <n v="961"/>
    <x v="241"/>
    <n v="7438.1399999999994"/>
    <n v="497"/>
    <n v="5"/>
    <x v="244"/>
    <s v="Cancelled"/>
    <n v="4.5"/>
    <x v="5"/>
    <x v="244"/>
    <x v="230"/>
  </r>
  <r>
    <s v="ORD-1246"/>
    <d v="2025-02-11T00:00:00"/>
    <x v="3"/>
    <x v="1"/>
    <x v="9"/>
    <n v="46"/>
    <n v="1035"/>
    <x v="242"/>
    <n v="8569.7999999999993"/>
    <n v="474"/>
    <n v="0"/>
    <x v="245"/>
    <s v="Cancelled"/>
    <n v="3.2"/>
    <x v="3"/>
    <x v="245"/>
    <x v="231"/>
  </r>
  <r>
    <s v="ORD-1247"/>
    <d v="2025-10-08T00:00:00"/>
    <x v="3"/>
    <x v="2"/>
    <x v="5"/>
    <n v="35"/>
    <n v="776"/>
    <x v="243"/>
    <n v="4888.8"/>
    <n v="276"/>
    <n v="5"/>
    <x v="246"/>
    <s v="In-Progress"/>
    <n v="4.7"/>
    <x v="1"/>
    <x v="246"/>
    <x v="232"/>
  </r>
  <r>
    <s v="ORD-1248"/>
    <d v="2025-03-01T00:00:00"/>
    <x v="1"/>
    <x v="1"/>
    <x v="8"/>
    <n v="33"/>
    <n v="1078"/>
    <x v="244"/>
    <n v="6403.32"/>
    <n v="262"/>
    <n v="0"/>
    <x v="247"/>
    <s v="In-Progress"/>
    <n v="3.3"/>
    <x v="9"/>
    <x v="247"/>
    <x v="233"/>
  </r>
  <r>
    <s v="ORD-1249"/>
    <d v="2025-08-22T00:00:00"/>
    <x v="3"/>
    <x v="0"/>
    <x v="9"/>
    <n v="30"/>
    <n v="1257"/>
    <x v="245"/>
    <n v="6787.8"/>
    <n v="51"/>
    <n v="0"/>
    <x v="248"/>
    <s v="In-Progress"/>
    <n v="3.5"/>
    <x v="6"/>
    <x v="248"/>
    <x v="234"/>
  </r>
  <r>
    <s v="ORD-1250"/>
    <d v="2025-04-22T00:00:00"/>
    <x v="3"/>
    <x v="0"/>
    <x v="1"/>
    <n v="28"/>
    <n v="1276"/>
    <x v="246"/>
    <n v="6431.04"/>
    <n v="85"/>
    <n v="0"/>
    <x v="249"/>
    <s v="Cancelled"/>
    <n v="5"/>
    <x v="10"/>
    <x v="249"/>
    <x v="2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03D107-4D19-4F26-BF6F-C0A0B10A44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9:L20" firstHeaderRow="1" firstDataRow="1" firstDataCol="1"/>
  <pivotFields count="17">
    <pivotField showAll="0"/>
    <pivotField numFmtId="164" showAll="0"/>
    <pivotField showAll="0">
      <items count="6">
        <item x="2"/>
        <item x="3"/>
        <item x="0"/>
        <item x="1"/>
        <item x="4"/>
        <item t="default"/>
      </items>
    </pivotField>
    <pivotField showAll="0"/>
    <pivotField axis="axisRow" showAll="0">
      <items count="11">
        <item x="1"/>
        <item x="8"/>
        <item x="7"/>
        <item x="2"/>
        <item x="0"/>
        <item x="3"/>
        <item x="6"/>
        <item x="4"/>
        <item x="9"/>
        <item x="5"/>
        <item t="default"/>
      </items>
    </pivotField>
    <pivotField showAll="0"/>
    <pivotField numFmtId="4" showAll="0"/>
    <pivotField dataField="1" numFmtId="4" showAll="0"/>
    <pivotField numFmtId="4" showAll="0"/>
    <pivotField numFmtId="4" showAll="0"/>
    <pivotField numFmtId="165" showAll="0"/>
    <pivotField numFmtId="4" showAll="0"/>
    <pivotField showAll="0"/>
    <pivotField showAll="0"/>
    <pivotField showAll="0">
      <items count="13">
        <item x="11"/>
        <item x="3"/>
        <item x="9"/>
        <item x="10"/>
        <item x="2"/>
        <item x="8"/>
        <item x="5"/>
        <item x="6"/>
        <item x="7"/>
        <item x="1"/>
        <item x="0"/>
        <item x="4"/>
        <item t="default"/>
      </items>
    </pivotField>
    <pivotField numFmtId="4" showAll="0"/>
    <pivotField numFmtId="166" showAll="0">
      <items count="237">
        <item x="202"/>
        <item x="227"/>
        <item x="112"/>
        <item x="225"/>
        <item x="201"/>
        <item x="124"/>
        <item x="37"/>
        <item x="176"/>
        <item x="28"/>
        <item x="222"/>
        <item x="94"/>
        <item x="25"/>
        <item x="11"/>
        <item x="203"/>
        <item x="81"/>
        <item x="186"/>
        <item x="49"/>
        <item x="185"/>
        <item x="182"/>
        <item x="35"/>
        <item x="139"/>
        <item x="101"/>
        <item x="10"/>
        <item x="157"/>
        <item x="178"/>
        <item x="137"/>
        <item x="181"/>
        <item x="83"/>
        <item x="69"/>
        <item x="98"/>
        <item x="108"/>
        <item x="15"/>
        <item x="131"/>
        <item x="170"/>
        <item x="141"/>
        <item x="174"/>
        <item x="126"/>
        <item x="56"/>
        <item x="47"/>
        <item x="214"/>
        <item x="188"/>
        <item x="30"/>
        <item x="110"/>
        <item x="74"/>
        <item x="166"/>
        <item x="88"/>
        <item x="33"/>
        <item x="154"/>
        <item x="58"/>
        <item x="210"/>
        <item x="7"/>
        <item x="60"/>
        <item x="73"/>
        <item x="215"/>
        <item x="198"/>
        <item x="113"/>
        <item x="90"/>
        <item x="143"/>
        <item x="162"/>
        <item x="14"/>
        <item x="194"/>
        <item x="163"/>
        <item x="97"/>
        <item x="3"/>
        <item x="120"/>
        <item x="196"/>
        <item x="20"/>
        <item x="87"/>
        <item x="111"/>
        <item x="150"/>
        <item x="118"/>
        <item x="36"/>
        <item x="180"/>
        <item x="102"/>
        <item x="54"/>
        <item x="38"/>
        <item x="156"/>
        <item x="136"/>
        <item x="208"/>
        <item x="109"/>
        <item x="43"/>
        <item x="145"/>
        <item x="168"/>
        <item x="41"/>
        <item x="100"/>
        <item x="140"/>
        <item x="70"/>
        <item x="195"/>
        <item x="212"/>
        <item x="4"/>
        <item x="53"/>
        <item x="115"/>
        <item x="133"/>
        <item x="12"/>
        <item x="189"/>
        <item x="105"/>
        <item x="177"/>
        <item x="153"/>
        <item x="75"/>
        <item x="116"/>
        <item x="190"/>
        <item x="55"/>
        <item x="121"/>
        <item x="89"/>
        <item x="27"/>
        <item x="220"/>
        <item x="219"/>
        <item x="117"/>
        <item x="82"/>
        <item x="165"/>
        <item x="45"/>
        <item x="26"/>
        <item x="104"/>
        <item x="107"/>
        <item x="134"/>
        <item x="206"/>
        <item x="192"/>
        <item x="76"/>
        <item x="213"/>
        <item x="67"/>
        <item x="175"/>
        <item x="31"/>
        <item x="209"/>
        <item x="92"/>
        <item x="179"/>
        <item x="216"/>
        <item x="57"/>
        <item x="32"/>
        <item x="86"/>
        <item x="44"/>
        <item x="199"/>
        <item x="158"/>
        <item x="96"/>
        <item x="171"/>
        <item x="159"/>
        <item x="93"/>
        <item x="205"/>
        <item x="78"/>
        <item x="66"/>
        <item x="18"/>
        <item x="135"/>
        <item x="79"/>
        <item x="46"/>
        <item x="167"/>
        <item x="223"/>
        <item x="77"/>
        <item x="39"/>
        <item x="146"/>
        <item x="128"/>
        <item x="6"/>
        <item x="71"/>
        <item x="224"/>
        <item x="184"/>
        <item x="164"/>
        <item x="142"/>
        <item x="204"/>
        <item x="13"/>
        <item x="119"/>
        <item x="152"/>
        <item x="99"/>
        <item x="229"/>
        <item x="1"/>
        <item x="0"/>
        <item x="169"/>
        <item x="187"/>
        <item x="29"/>
        <item x="84"/>
        <item x="114"/>
        <item x="95"/>
        <item x="72"/>
        <item x="85"/>
        <item x="5"/>
        <item x="63"/>
        <item x="61"/>
        <item x="80"/>
        <item x="207"/>
        <item x="230"/>
        <item x="16"/>
        <item x="48"/>
        <item x="232"/>
        <item x="122"/>
        <item x="9"/>
        <item x="173"/>
        <item x="24"/>
        <item x="149"/>
        <item x="21"/>
        <item x="221"/>
        <item x="52"/>
        <item x="218"/>
        <item x="8"/>
        <item x="91"/>
        <item x="144"/>
        <item x="125"/>
        <item x="197"/>
        <item x="17"/>
        <item x="228"/>
        <item x="217"/>
        <item x="148"/>
        <item x="51"/>
        <item x="151"/>
        <item x="42"/>
        <item x="147"/>
        <item x="64"/>
        <item x="19"/>
        <item x="40"/>
        <item x="129"/>
        <item x="62"/>
        <item x="50"/>
        <item x="161"/>
        <item x="183"/>
        <item x="23"/>
        <item x="22"/>
        <item x="231"/>
        <item x="106"/>
        <item x="34"/>
        <item x="132"/>
        <item x="193"/>
        <item x="68"/>
        <item x="138"/>
        <item x="2"/>
        <item x="191"/>
        <item x="233"/>
        <item x="123"/>
        <item x="103"/>
        <item x="200"/>
        <item x="65"/>
        <item x="127"/>
        <item x="155"/>
        <item x="226"/>
        <item x="160"/>
        <item x="172"/>
        <item x="211"/>
        <item x="235"/>
        <item x="130"/>
        <item x="234"/>
        <item x="59"/>
        <item t="default"/>
      </items>
    </pivotField>
  </pivotFields>
  <rowFields count="1">
    <field x="4"/>
  </rowFields>
  <rowItems count="11">
    <i>
      <x/>
    </i>
    <i>
      <x v="1"/>
    </i>
    <i>
      <x v="2"/>
    </i>
    <i>
      <x v="3"/>
    </i>
    <i>
      <x v="4"/>
    </i>
    <i>
      <x v="5"/>
    </i>
    <i>
      <x v="6"/>
    </i>
    <i>
      <x v="7"/>
    </i>
    <i>
      <x v="8"/>
    </i>
    <i>
      <x v="9"/>
    </i>
    <i t="grand">
      <x/>
    </i>
  </rowItems>
  <colItems count="1">
    <i/>
  </colItems>
  <dataFields count="1">
    <dataField name="Sum of Gross Revenue" fld="7" baseField="0" baseItem="0" numFmtId="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18FA10-C8F1-411B-8D0E-31E1440774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6:I8" firstHeaderRow="1" firstDataRow="1" firstDataCol="1"/>
  <pivotFields count="17">
    <pivotField showAll="0"/>
    <pivotField numFmtId="164" showAll="0"/>
    <pivotField showAll="0">
      <items count="6">
        <item h="1" x="2"/>
        <item h="1" x="3"/>
        <item x="0"/>
        <item h="1" x="1"/>
        <item h="1" x="4"/>
        <item t="default"/>
      </items>
    </pivotField>
    <pivotField showAll="0"/>
    <pivotField showAll="0"/>
    <pivotField showAll="0"/>
    <pivotField numFmtId="4" showAll="0"/>
    <pivotField numFmtId="4" showAll="0">
      <items count="248">
        <item h="1" x="212"/>
        <item h="1" x="237"/>
        <item h="1" x="235"/>
        <item h="1" x="115"/>
        <item x="38"/>
        <item h="1" x="182"/>
        <item h="1" x="211"/>
        <item h="1" x="128"/>
        <item h="1" x="193"/>
        <item h="1" x="1"/>
        <item h="1" x="124"/>
        <item h="1" x="82"/>
        <item h="1" x="74"/>
        <item h="1" x="37"/>
        <item h="1" x="169"/>
        <item h="1" x="5"/>
        <item h="1" x="91"/>
        <item h="1" x="232"/>
        <item h="1" x="144"/>
        <item h="1" x="121"/>
        <item h="1" x="216"/>
        <item h="1" x="20"/>
        <item h="1" x="97"/>
        <item h="1" x="70"/>
        <item h="1" x="11"/>
        <item h="1" x="157"/>
        <item h="1" x="130"/>
        <item h="1" x="208"/>
        <item h="1" x="28"/>
        <item h="1" x="59"/>
        <item h="1" x="81"/>
        <item h="1" x="43"/>
        <item h="1" x="194"/>
        <item h="1" x="31"/>
        <item h="1" x="195"/>
        <item h="1" x="89"/>
        <item h="1" x="3"/>
        <item h="1" x="84"/>
        <item h="1" x="107"/>
        <item h="1" x="163"/>
        <item h="1" x="151"/>
        <item h="1" x="177"/>
        <item h="1" x="213"/>
        <item h="1" x="50"/>
        <item h="1" x="164"/>
        <item h="1" x="25"/>
        <item h="1" x="153"/>
        <item h="1" x="39"/>
        <item h="1" x="65"/>
        <item h="1" x="58"/>
        <item h="1" x="138"/>
        <item h="1" x="167"/>
        <item h="1" x="29"/>
        <item h="1" x="110"/>
        <item h="1" x="119"/>
        <item h="1" x="10"/>
        <item h="1" x="187"/>
        <item h="1" x="183"/>
        <item h="1" x="68"/>
        <item h="1" x="77"/>
        <item h="1" x="240"/>
        <item h="1" x="188"/>
        <item h="1" x="111"/>
        <item h="1" x="108"/>
        <item h="1" x="100"/>
        <item h="1" x="205"/>
        <item h="1" x="140"/>
        <item h="1" x="201"/>
        <item h="1" x="41"/>
        <item h="1" x="185"/>
        <item h="1" x="156"/>
        <item h="1" x="42"/>
        <item h="1" x="36"/>
        <item h="1" x="146"/>
        <item h="1" x="104"/>
        <item h="1" x="90"/>
        <item h="1" x="33"/>
        <item h="1" x="184"/>
        <item h="1" x="219"/>
        <item h="1" x="114"/>
        <item h="1" x="172"/>
        <item h="1" x="57"/>
        <item h="1" x="122"/>
        <item h="1" x="224"/>
        <item h="1" x="191"/>
        <item h="1" x="181"/>
        <item h="1" x="85"/>
        <item h="1" x="75"/>
        <item h="1" x="19"/>
        <item h="1" x="218"/>
        <item h="1" x="225"/>
        <item h="1" x="127"/>
        <item h="1" x="180"/>
        <item h="1" x="173"/>
        <item h="1" x="176"/>
        <item h="1" x="48"/>
        <item h="1" x="174"/>
        <item h="1" x="142"/>
        <item h="1" x="45"/>
        <item h="1" x="141"/>
        <item h="1" x="101"/>
        <item h="1" x="126"/>
        <item h="1" x="149"/>
        <item h="1" x="155"/>
        <item h="1" x="175"/>
        <item h="1" x="145"/>
        <item h="1" x="105"/>
        <item h="1" x="73"/>
        <item h="1" x="56"/>
        <item h="1" x="55"/>
        <item h="1" x="15"/>
        <item h="1" x="99"/>
        <item h="1" x="66"/>
        <item h="1" x="44"/>
        <item h="1" x="0"/>
        <item h="1" x="129"/>
        <item h="1" x="35"/>
        <item h="1" x="118"/>
        <item h="1" x="131"/>
        <item h="1" x="162"/>
        <item h="1" x="95"/>
        <item h="1" x="135"/>
        <item h="1" x="96"/>
        <item h="1" x="186"/>
        <item h="1" x="209"/>
        <item h="1" x="109"/>
        <item h="1" x="227"/>
        <item h="1" x="22"/>
        <item h="1" x="30"/>
        <item h="1" x="196"/>
        <item h="1" x="78"/>
        <item h="1" x="86"/>
        <item h="1" x="137"/>
        <item h="1" x="6"/>
        <item h="1" x="49"/>
        <item h="1" x="51"/>
        <item h="1" x="204"/>
        <item h="1" x="98"/>
        <item h="1" x="112"/>
        <item h="1" x="215"/>
        <item h="1" x="222"/>
        <item h="1" x="113"/>
        <item h="1" x="192"/>
        <item h="1" x="198"/>
        <item h="1" x="88"/>
        <item h="1" x="133"/>
        <item h="1" x="200"/>
        <item h="1" x="243"/>
        <item h="1" x="197"/>
        <item h="1" x="210"/>
        <item h="1" x="152"/>
        <item h="1" x="12"/>
        <item h="1" x="62"/>
        <item h="1" x="2"/>
        <item h="1" x="117"/>
        <item h="1" x="26"/>
        <item h="1" x="46"/>
        <item h="1" x="16"/>
        <item h="1" x="190"/>
        <item h="1" x="147"/>
        <item h="1" x="199"/>
        <item h="1" x="64"/>
        <item h="1" x="27"/>
        <item h="1" x="226"/>
        <item h="1" x="63"/>
        <item h="1" x="139"/>
        <item h="1" x="40"/>
        <item h="1" x="24"/>
        <item h="1" x="103"/>
        <item h="1" x="214"/>
        <item h="1" x="18"/>
        <item h="1" x="236"/>
        <item h="1" x="206"/>
        <item h="1" x="170"/>
        <item h="1" x="165"/>
        <item h="1" x="230"/>
        <item h="1" x="217"/>
        <item h="1" x="76"/>
        <item h="1" x="244"/>
        <item h="1" x="246"/>
        <item h="1" x="234"/>
        <item h="1" x="8"/>
        <item h="1" x="160"/>
        <item h="1" x="71"/>
        <item h="1" x="54"/>
        <item h="1" x="67"/>
        <item h="1" x="79"/>
        <item h="1" x="158"/>
        <item h="1" x="53"/>
        <item h="1" x="245"/>
        <item h="1" x="123"/>
        <item h="1" x="202"/>
        <item h="1" x="61"/>
        <item h="1" x="23"/>
        <item h="1" x="9"/>
        <item h="1" x="229"/>
        <item h="1" x="4"/>
        <item h="1" x="21"/>
        <item h="1" x="203"/>
        <item h="1" x="223"/>
        <item h="1" x="132"/>
        <item h="1" x="179"/>
        <item h="1" x="241"/>
        <item h="1" x="94"/>
        <item h="1" x="136"/>
        <item h="1" x="106"/>
        <item h="1" x="47"/>
        <item h="1" x="166"/>
        <item h="1" x="233"/>
        <item h="1" x="221"/>
        <item h="1" x="32"/>
        <item h="1" x="125"/>
        <item h="1" x="80"/>
        <item h="1" x="83"/>
        <item h="1" x="34"/>
        <item h="1" x="14"/>
        <item h="1" x="239"/>
        <item h="1" x="242"/>
        <item h="1" x="220"/>
        <item h="1" x="116"/>
        <item h="1" x="189"/>
        <item h="1" x="7"/>
        <item h="1" x="154"/>
        <item h="1" x="171"/>
        <item h="1" x="161"/>
        <item h="1" x="207"/>
        <item h="1" x="72"/>
        <item h="1" x="228"/>
        <item h="1" x="143"/>
        <item h="1" x="178"/>
        <item h="1" x="238"/>
        <item h="1" x="159"/>
        <item h="1" x="17"/>
        <item h="1" x="69"/>
        <item h="1" x="87"/>
        <item h="1" x="52"/>
        <item h="1" x="92"/>
        <item h="1" x="60"/>
        <item h="1" x="168"/>
        <item h="1" x="231"/>
        <item h="1" x="148"/>
        <item h="1" x="120"/>
        <item h="1" x="13"/>
        <item h="1" x="93"/>
        <item h="1" x="134"/>
        <item h="1" x="150"/>
        <item h="1" x="102"/>
        <item t="default"/>
      </items>
    </pivotField>
    <pivotField numFmtId="4" showAll="0"/>
    <pivotField numFmtId="4" showAll="0"/>
    <pivotField numFmtId="165" showAll="0"/>
    <pivotField dataField="1" numFmtId="4" showAll="0"/>
    <pivotField showAll="0"/>
    <pivotField showAll="0"/>
    <pivotField axis="axisRow" showAll="0">
      <items count="13">
        <item h="1" x="11"/>
        <item h="1" x="3"/>
        <item h="1" x="9"/>
        <item h="1" x="10"/>
        <item x="2"/>
        <item h="1" x="8"/>
        <item h="1" x="5"/>
        <item h="1" x="6"/>
        <item h="1" x="7"/>
        <item h="1" x="1"/>
        <item h="1" x="0"/>
        <item h="1" x="4"/>
        <item t="default"/>
      </items>
    </pivotField>
    <pivotField numFmtId="4" showAll="0"/>
    <pivotField numFmtId="166" showAll="0"/>
  </pivotFields>
  <rowFields count="1">
    <field x="14"/>
  </rowFields>
  <rowItems count="2">
    <i>
      <x v="4"/>
    </i>
    <i t="grand">
      <x/>
    </i>
  </rowItems>
  <colItems count="1">
    <i/>
  </colItems>
  <dataFields count="1">
    <dataField name="Sum of Total Net Profit" fld="11" baseField="0" baseItem="0" numFmtId="4"/>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2CF2F7-E29C-4400-BB89-A4FC17724C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4:F17" firstHeaderRow="0" firstDataRow="1" firstDataCol="1"/>
  <pivotFields count="17">
    <pivotField showAll="0"/>
    <pivotField numFmtId="164" showAll="0"/>
    <pivotField showAll="0">
      <items count="6">
        <item x="2"/>
        <item x="3"/>
        <item x="0"/>
        <item x="1"/>
        <item x="4"/>
        <item t="default"/>
      </items>
    </pivotField>
    <pivotField showAll="0"/>
    <pivotField showAll="0"/>
    <pivotField showAll="0"/>
    <pivotField numFmtId="4" showAll="0"/>
    <pivotField dataField="1" numFmtId="4" showAll="0">
      <items count="248">
        <item x="212"/>
        <item x="237"/>
        <item x="235"/>
        <item x="115"/>
        <item x="38"/>
        <item x="182"/>
        <item x="211"/>
        <item x="128"/>
        <item x="193"/>
        <item x="1"/>
        <item x="124"/>
        <item x="82"/>
        <item x="74"/>
        <item x="37"/>
        <item x="169"/>
        <item x="5"/>
        <item x="91"/>
        <item x="232"/>
        <item x="144"/>
        <item x="121"/>
        <item x="216"/>
        <item x="20"/>
        <item x="97"/>
        <item x="70"/>
        <item x="11"/>
        <item x="157"/>
        <item x="130"/>
        <item x="208"/>
        <item x="28"/>
        <item x="59"/>
        <item x="81"/>
        <item x="43"/>
        <item x="194"/>
        <item x="31"/>
        <item x="195"/>
        <item x="89"/>
        <item x="3"/>
        <item x="84"/>
        <item x="107"/>
        <item x="163"/>
        <item x="151"/>
        <item x="177"/>
        <item x="213"/>
        <item x="50"/>
        <item x="164"/>
        <item x="25"/>
        <item x="153"/>
        <item x="39"/>
        <item x="65"/>
        <item x="58"/>
        <item x="138"/>
        <item x="167"/>
        <item x="29"/>
        <item x="110"/>
        <item x="119"/>
        <item x="10"/>
        <item x="187"/>
        <item x="183"/>
        <item x="68"/>
        <item x="77"/>
        <item x="240"/>
        <item x="188"/>
        <item x="111"/>
        <item x="108"/>
        <item x="100"/>
        <item x="205"/>
        <item x="140"/>
        <item x="201"/>
        <item x="41"/>
        <item x="185"/>
        <item x="156"/>
        <item x="42"/>
        <item x="36"/>
        <item x="146"/>
        <item x="104"/>
        <item x="90"/>
        <item x="33"/>
        <item x="184"/>
        <item x="219"/>
        <item x="114"/>
        <item x="172"/>
        <item x="57"/>
        <item x="122"/>
        <item x="224"/>
        <item x="191"/>
        <item x="181"/>
        <item x="85"/>
        <item x="75"/>
        <item x="19"/>
        <item x="218"/>
        <item x="225"/>
        <item x="127"/>
        <item x="180"/>
        <item x="173"/>
        <item x="176"/>
        <item x="48"/>
        <item x="174"/>
        <item x="142"/>
        <item x="45"/>
        <item x="141"/>
        <item x="101"/>
        <item x="126"/>
        <item x="149"/>
        <item x="155"/>
        <item x="175"/>
        <item x="145"/>
        <item x="105"/>
        <item x="73"/>
        <item x="56"/>
        <item x="55"/>
        <item x="15"/>
        <item x="99"/>
        <item x="66"/>
        <item x="44"/>
        <item x="0"/>
        <item x="129"/>
        <item x="35"/>
        <item x="118"/>
        <item x="131"/>
        <item x="162"/>
        <item x="95"/>
        <item x="135"/>
        <item x="96"/>
        <item x="186"/>
        <item x="209"/>
        <item x="109"/>
        <item x="227"/>
        <item x="22"/>
        <item x="30"/>
        <item x="196"/>
        <item x="78"/>
        <item x="86"/>
        <item x="137"/>
        <item x="6"/>
        <item x="49"/>
        <item x="51"/>
        <item x="204"/>
        <item x="98"/>
        <item x="112"/>
        <item x="215"/>
        <item x="222"/>
        <item x="113"/>
        <item x="192"/>
        <item x="198"/>
        <item x="88"/>
        <item x="133"/>
        <item x="200"/>
        <item x="243"/>
        <item x="197"/>
        <item x="210"/>
        <item x="152"/>
        <item x="12"/>
        <item x="62"/>
        <item x="2"/>
        <item x="117"/>
        <item x="26"/>
        <item x="46"/>
        <item x="16"/>
        <item x="190"/>
        <item x="147"/>
        <item x="199"/>
        <item x="64"/>
        <item x="27"/>
        <item x="226"/>
        <item x="63"/>
        <item x="139"/>
        <item x="40"/>
        <item x="24"/>
        <item x="103"/>
        <item x="214"/>
        <item x="18"/>
        <item x="236"/>
        <item x="206"/>
        <item x="170"/>
        <item x="165"/>
        <item x="230"/>
        <item x="217"/>
        <item x="76"/>
        <item x="244"/>
        <item x="246"/>
        <item x="234"/>
        <item x="8"/>
        <item x="160"/>
        <item x="71"/>
        <item x="54"/>
        <item x="67"/>
        <item x="79"/>
        <item x="158"/>
        <item x="53"/>
        <item x="245"/>
        <item x="123"/>
        <item x="202"/>
        <item x="61"/>
        <item x="23"/>
        <item x="9"/>
        <item x="229"/>
        <item x="4"/>
        <item x="21"/>
        <item x="203"/>
        <item x="223"/>
        <item x="132"/>
        <item x="179"/>
        <item x="241"/>
        <item x="94"/>
        <item x="136"/>
        <item x="106"/>
        <item x="47"/>
        <item x="166"/>
        <item x="233"/>
        <item x="221"/>
        <item x="32"/>
        <item x="125"/>
        <item x="80"/>
        <item x="83"/>
        <item x="34"/>
        <item x="14"/>
        <item x="239"/>
        <item x="242"/>
        <item x="220"/>
        <item x="116"/>
        <item x="189"/>
        <item x="7"/>
        <item x="154"/>
        <item x="171"/>
        <item x="161"/>
        <item x="207"/>
        <item x="72"/>
        <item x="228"/>
        <item x="143"/>
        <item x="178"/>
        <item x="238"/>
        <item x="159"/>
        <item x="17"/>
        <item x="69"/>
        <item x="87"/>
        <item x="52"/>
        <item x="92"/>
        <item x="60"/>
        <item x="168"/>
        <item x="231"/>
        <item x="148"/>
        <item x="120"/>
        <item x="13"/>
        <item x="93"/>
        <item x="134"/>
        <item x="150"/>
        <item x="102"/>
        <item t="default"/>
      </items>
    </pivotField>
    <pivotField numFmtId="4" showAll="0"/>
    <pivotField numFmtId="4" showAll="0"/>
    <pivotField numFmtId="165" showAll="0"/>
    <pivotField numFmtId="4" showAll="0">
      <items count="251">
        <item x="214"/>
        <item x="240"/>
        <item x="238"/>
        <item x="116"/>
        <item x="38"/>
        <item x="213"/>
        <item x="184"/>
        <item x="129"/>
        <item x="195"/>
        <item x="82"/>
        <item x="125"/>
        <item x="1"/>
        <item x="74"/>
        <item x="235"/>
        <item x="37"/>
        <item x="170"/>
        <item x="145"/>
        <item x="91"/>
        <item x="98"/>
        <item x="11"/>
        <item x="70"/>
        <item x="28"/>
        <item x="122"/>
        <item x="5"/>
        <item x="173"/>
        <item x="20"/>
        <item x="218"/>
        <item x="131"/>
        <item x="196"/>
        <item x="59"/>
        <item x="84"/>
        <item x="164"/>
        <item x="3"/>
        <item x="158"/>
        <item x="215"/>
        <item x="210"/>
        <item x="50"/>
        <item x="25"/>
        <item x="197"/>
        <item x="81"/>
        <item x="31"/>
        <item x="43"/>
        <item x="89"/>
        <item x="108"/>
        <item x="152"/>
        <item x="179"/>
        <item x="39"/>
        <item x="165"/>
        <item x="95"/>
        <item x="10"/>
        <item x="58"/>
        <item x="189"/>
        <item x="139"/>
        <item x="190"/>
        <item x="111"/>
        <item x="120"/>
        <item x="154"/>
        <item x="65"/>
        <item x="185"/>
        <item x="112"/>
        <item x="29"/>
        <item x="68"/>
        <item x="168"/>
        <item x="77"/>
        <item x="101"/>
        <item x="109"/>
        <item x="243"/>
        <item x="207"/>
        <item x="141"/>
        <item x="36"/>
        <item x="147"/>
        <item x="203"/>
        <item x="157"/>
        <item x="105"/>
        <item x="42"/>
        <item x="186"/>
        <item x="187"/>
        <item x="90"/>
        <item x="57"/>
        <item x="41"/>
        <item x="115"/>
        <item x="123"/>
        <item x="33"/>
        <item x="221"/>
        <item x="75"/>
        <item x="227"/>
        <item x="226"/>
        <item x="174"/>
        <item x="182"/>
        <item x="143"/>
        <item x="178"/>
        <item x="48"/>
        <item x="183"/>
        <item x="220"/>
        <item x="193"/>
        <item x="102"/>
        <item x="175"/>
        <item x="85"/>
        <item x="15"/>
        <item x="176"/>
        <item x="106"/>
        <item x="45"/>
        <item x="146"/>
        <item x="55"/>
        <item x="56"/>
        <item x="19"/>
        <item x="136"/>
        <item x="44"/>
        <item x="142"/>
        <item x="128"/>
        <item x="163"/>
        <item x="127"/>
        <item x="150"/>
        <item x="100"/>
        <item x="177"/>
        <item x="188"/>
        <item x="156"/>
        <item x="30"/>
        <item x="73"/>
        <item x="96"/>
        <item x="0"/>
        <item x="97"/>
        <item x="211"/>
        <item x="229"/>
        <item x="119"/>
        <item x="130"/>
        <item x="86"/>
        <item x="114"/>
        <item x="138"/>
        <item x="66"/>
        <item x="35"/>
        <item x="206"/>
        <item x="113"/>
        <item x="78"/>
        <item x="224"/>
        <item x="132"/>
        <item x="199"/>
        <item x="110"/>
        <item x="6"/>
        <item x="200"/>
        <item x="198"/>
        <item x="22"/>
        <item x="217"/>
        <item x="49"/>
        <item x="99"/>
        <item x="12"/>
        <item x="51"/>
        <item x="228"/>
        <item x="153"/>
        <item x="26"/>
        <item x="46"/>
        <item x="88"/>
        <item x="201"/>
        <item x="246"/>
        <item x="194"/>
        <item x="118"/>
        <item x="27"/>
        <item x="134"/>
        <item x="104"/>
        <item x="202"/>
        <item x="62"/>
        <item x="148"/>
        <item x="212"/>
        <item x="161"/>
        <item x="140"/>
        <item x="232"/>
        <item x="16"/>
        <item x="40"/>
        <item x="76"/>
        <item x="2"/>
        <item x="216"/>
        <item x="18"/>
        <item x="64"/>
        <item x="166"/>
        <item x="71"/>
        <item x="61"/>
        <item x="171"/>
        <item x="54"/>
        <item x="24"/>
        <item x="192"/>
        <item x="225"/>
        <item x="205"/>
        <item x="237"/>
        <item x="63"/>
        <item x="208"/>
        <item x="219"/>
        <item x="233"/>
        <item x="67"/>
        <item x="79"/>
        <item x="4"/>
        <item x="159"/>
        <item x="239"/>
        <item x="124"/>
        <item x="8"/>
        <item x="34"/>
        <item x="14"/>
        <item x="53"/>
        <item x="247"/>
        <item x="249"/>
        <item x="133"/>
        <item x="222"/>
        <item x="191"/>
        <item x="126"/>
        <item x="117"/>
        <item x="47"/>
        <item x="7"/>
        <item x="9"/>
        <item x="236"/>
        <item x="231"/>
        <item x="83"/>
        <item x="248"/>
        <item x="21"/>
        <item x="244"/>
        <item x="181"/>
        <item x="209"/>
        <item x="204"/>
        <item x="94"/>
        <item x="23"/>
        <item x="80"/>
        <item x="172"/>
        <item x="137"/>
        <item x="107"/>
        <item x="167"/>
        <item x="223"/>
        <item x="32"/>
        <item x="160"/>
        <item x="169"/>
        <item x="149"/>
        <item x="72"/>
        <item x="93"/>
        <item x="92"/>
        <item x="155"/>
        <item x="242"/>
        <item x="245"/>
        <item x="121"/>
        <item x="230"/>
        <item x="162"/>
        <item x="241"/>
        <item x="17"/>
        <item x="87"/>
        <item x="52"/>
        <item x="144"/>
        <item x="13"/>
        <item x="180"/>
        <item x="234"/>
        <item x="69"/>
        <item x="60"/>
        <item x="103"/>
        <item x="151"/>
        <item x="135"/>
        <item t="default"/>
      </items>
    </pivotField>
    <pivotField showAll="0"/>
    <pivotField showAll="0"/>
    <pivotField axis="axisRow" showAll="0">
      <items count="13">
        <item x="11"/>
        <item x="3"/>
        <item x="9"/>
        <item x="10"/>
        <item x="2"/>
        <item x="8"/>
        <item x="5"/>
        <item x="6"/>
        <item x="7"/>
        <item x="1"/>
        <item x="0"/>
        <item x="4"/>
        <item t="default"/>
      </items>
    </pivotField>
    <pivotField dataField="1" numFmtId="4" showAll="0">
      <items count="251">
        <item x="210"/>
        <item x="58"/>
        <item x="207"/>
        <item x="187"/>
        <item x="220"/>
        <item x="206"/>
        <item x="142"/>
        <item x="75"/>
        <item x="56"/>
        <item x="77"/>
        <item x="89"/>
        <item x="195"/>
        <item x="5"/>
        <item x="116"/>
        <item x="123"/>
        <item x="196"/>
        <item x="128"/>
        <item x="111"/>
        <item x="213"/>
        <item x="136"/>
        <item x="184"/>
        <item x="90"/>
        <item x="125"/>
        <item x="11"/>
        <item x="50"/>
        <item x="186"/>
        <item x="10"/>
        <item x="164"/>
        <item x="152"/>
        <item x="31"/>
        <item x="238"/>
        <item x="78"/>
        <item x="215"/>
        <item x="221"/>
        <item x="68"/>
        <item x="127"/>
        <item x="143"/>
        <item x="240"/>
        <item x="44"/>
        <item x="141"/>
        <item x="109"/>
        <item x="106"/>
        <item x="214"/>
        <item x="145"/>
        <item x="226"/>
        <item x="158"/>
        <item x="57"/>
        <item x="120"/>
        <item x="48"/>
        <item x="81"/>
        <item x="190"/>
        <item x="119"/>
        <item x="96"/>
        <item x="203"/>
        <item x="122"/>
        <item x="43"/>
        <item x="174"/>
        <item x="139"/>
        <item x="42"/>
        <item x="131"/>
        <item x="182"/>
        <item x="170"/>
        <item x="88"/>
        <item x="85"/>
        <item x="113"/>
        <item x="49"/>
        <item x="51"/>
        <item x="82"/>
        <item x="246"/>
        <item x="39"/>
        <item x="157"/>
        <item x="233"/>
        <item x="59"/>
        <item x="3"/>
        <item x="110"/>
        <item x="86"/>
        <item x="54"/>
        <item x="211"/>
        <item x="21"/>
        <item x="36"/>
        <item x="15"/>
        <item x="219"/>
        <item x="175"/>
        <item x="114"/>
        <item x="163"/>
        <item x="205"/>
        <item x="202"/>
        <item x="8"/>
        <item x="177"/>
        <item x="197"/>
        <item x="173"/>
        <item x="179"/>
        <item x="41"/>
        <item x="12"/>
        <item x="165"/>
        <item x="166"/>
        <item x="243"/>
        <item x="129"/>
        <item x="138"/>
        <item x="153"/>
        <item x="46"/>
        <item x="156"/>
        <item x="161"/>
        <item x="112"/>
        <item x="223"/>
        <item x="222"/>
        <item x="168"/>
        <item x="79"/>
        <item x="24"/>
        <item x="40"/>
        <item x="80"/>
        <item x="231"/>
        <item x="242"/>
        <item x="247"/>
        <item x="91"/>
        <item x="95"/>
        <item x="72"/>
        <item x="171"/>
        <item x="20"/>
        <item x="67"/>
        <item x="188"/>
        <item x="124"/>
        <item x="73"/>
        <item x="204"/>
        <item x="198"/>
        <item x="76"/>
        <item x="18"/>
        <item x="33"/>
        <item x="227"/>
        <item x="118"/>
        <item x="185"/>
        <item x="74"/>
        <item x="2"/>
        <item x="194"/>
        <item x="201"/>
        <item x="9"/>
        <item x="84"/>
        <item x="22"/>
        <item x="193"/>
        <item x="237"/>
        <item x="1"/>
        <item x="37"/>
        <item x="208"/>
        <item x="60"/>
        <item x="27"/>
        <item x="172"/>
        <item x="154"/>
        <item x="104"/>
        <item x="224"/>
        <item x="63"/>
        <item x="235"/>
        <item x="199"/>
        <item x="26"/>
        <item x="61"/>
        <item x="230"/>
        <item x="192"/>
        <item x="228"/>
        <item x="209"/>
        <item x="32"/>
        <item x="25"/>
        <item x="212"/>
        <item x="117"/>
        <item x="23"/>
        <item x="216"/>
        <item x="53"/>
        <item x="28"/>
        <item x="34"/>
        <item x="45"/>
        <item x="217"/>
        <item x="102"/>
        <item x="126"/>
        <item x="19"/>
        <item x="137"/>
        <item x="155"/>
        <item x="17"/>
        <item x="229"/>
        <item x="151"/>
        <item x="239"/>
        <item x="191"/>
        <item x="232"/>
        <item x="98"/>
        <item x="66"/>
        <item x="244"/>
        <item x="181"/>
        <item x="183"/>
        <item x="140"/>
        <item x="169"/>
        <item x="108"/>
        <item x="29"/>
        <item x="160"/>
        <item x="245"/>
        <item x="13"/>
        <item x="107"/>
        <item x="225"/>
        <item x="147"/>
        <item x="148"/>
        <item x="105"/>
        <item x="234"/>
        <item x="14"/>
        <item x="38"/>
        <item x="180"/>
        <item x="65"/>
        <item x="97"/>
        <item x="52"/>
        <item x="101"/>
        <item x="115"/>
        <item x="149"/>
        <item x="176"/>
        <item x="94"/>
        <item x="134"/>
        <item x="6"/>
        <item x="16"/>
        <item x="99"/>
        <item x="92"/>
        <item x="150"/>
        <item x="0"/>
        <item x="71"/>
        <item x="93"/>
        <item x="133"/>
        <item x="100"/>
        <item x="159"/>
        <item x="189"/>
        <item x="47"/>
        <item x="55"/>
        <item x="121"/>
        <item x="236"/>
        <item x="218"/>
        <item x="87"/>
        <item x="130"/>
        <item x="70"/>
        <item x="249"/>
        <item x="103"/>
        <item x="144"/>
        <item x="132"/>
        <item x="7"/>
        <item x="64"/>
        <item x="162"/>
        <item x="69"/>
        <item x="248"/>
        <item x="4"/>
        <item x="62"/>
        <item x="167"/>
        <item x="241"/>
        <item x="83"/>
        <item x="200"/>
        <item x="146"/>
        <item x="135"/>
        <item x="178"/>
        <item x="35"/>
        <item x="30"/>
        <item t="default"/>
      </items>
    </pivotField>
    <pivotField numFmtId="166" showAll="0">
      <items count="237">
        <item x="202"/>
        <item x="227"/>
        <item x="112"/>
        <item x="225"/>
        <item x="201"/>
        <item x="124"/>
        <item x="37"/>
        <item x="176"/>
        <item x="28"/>
        <item x="222"/>
        <item x="94"/>
        <item x="25"/>
        <item x="11"/>
        <item x="203"/>
        <item x="81"/>
        <item x="186"/>
        <item x="49"/>
        <item x="185"/>
        <item x="182"/>
        <item x="35"/>
        <item x="139"/>
        <item x="101"/>
        <item x="10"/>
        <item x="157"/>
        <item x="178"/>
        <item x="137"/>
        <item x="181"/>
        <item x="83"/>
        <item x="69"/>
        <item x="98"/>
        <item x="108"/>
        <item x="15"/>
        <item x="131"/>
        <item x="170"/>
        <item x="141"/>
        <item x="174"/>
        <item x="126"/>
        <item x="56"/>
        <item x="47"/>
        <item x="214"/>
        <item x="188"/>
        <item x="30"/>
        <item x="110"/>
        <item x="74"/>
        <item x="166"/>
        <item x="88"/>
        <item x="33"/>
        <item x="154"/>
        <item x="58"/>
        <item x="210"/>
        <item x="7"/>
        <item x="60"/>
        <item x="73"/>
        <item x="215"/>
        <item x="198"/>
        <item x="113"/>
        <item x="90"/>
        <item x="143"/>
        <item x="162"/>
        <item x="14"/>
        <item x="194"/>
        <item x="163"/>
        <item x="97"/>
        <item x="3"/>
        <item x="120"/>
        <item x="196"/>
        <item x="20"/>
        <item x="87"/>
        <item x="111"/>
        <item x="150"/>
        <item x="118"/>
        <item x="36"/>
        <item x="180"/>
        <item x="102"/>
        <item x="54"/>
        <item x="38"/>
        <item x="156"/>
        <item x="136"/>
        <item x="208"/>
        <item x="109"/>
        <item x="43"/>
        <item x="145"/>
        <item x="168"/>
        <item x="41"/>
        <item x="100"/>
        <item x="140"/>
        <item x="70"/>
        <item x="195"/>
        <item x="212"/>
        <item x="4"/>
        <item x="53"/>
        <item x="115"/>
        <item x="133"/>
        <item x="12"/>
        <item x="189"/>
        <item x="105"/>
        <item x="177"/>
        <item x="153"/>
        <item x="75"/>
        <item x="116"/>
        <item x="190"/>
        <item x="55"/>
        <item x="121"/>
        <item x="89"/>
        <item x="27"/>
        <item x="220"/>
        <item x="219"/>
        <item x="117"/>
        <item x="82"/>
        <item x="165"/>
        <item x="45"/>
        <item x="26"/>
        <item x="104"/>
        <item x="107"/>
        <item x="134"/>
        <item x="206"/>
        <item x="192"/>
        <item x="76"/>
        <item x="213"/>
        <item x="67"/>
        <item x="175"/>
        <item x="31"/>
        <item x="209"/>
        <item x="92"/>
        <item x="179"/>
        <item x="216"/>
        <item x="57"/>
        <item x="32"/>
        <item x="86"/>
        <item x="44"/>
        <item x="199"/>
        <item x="158"/>
        <item x="96"/>
        <item x="171"/>
        <item x="159"/>
        <item x="93"/>
        <item x="205"/>
        <item x="78"/>
        <item x="66"/>
        <item x="18"/>
        <item x="135"/>
        <item x="79"/>
        <item x="46"/>
        <item x="167"/>
        <item x="223"/>
        <item x="77"/>
        <item x="39"/>
        <item x="146"/>
        <item x="128"/>
        <item x="6"/>
        <item x="71"/>
        <item x="224"/>
        <item x="184"/>
        <item x="164"/>
        <item x="142"/>
        <item x="204"/>
        <item x="13"/>
        <item x="119"/>
        <item x="152"/>
        <item x="99"/>
        <item x="229"/>
        <item x="1"/>
        <item x="0"/>
        <item x="169"/>
        <item x="187"/>
        <item x="29"/>
        <item x="84"/>
        <item x="114"/>
        <item x="95"/>
        <item x="72"/>
        <item x="85"/>
        <item x="5"/>
        <item x="63"/>
        <item x="61"/>
        <item x="80"/>
        <item x="207"/>
        <item x="230"/>
        <item x="16"/>
        <item x="48"/>
        <item x="232"/>
        <item x="122"/>
        <item x="9"/>
        <item x="173"/>
        <item x="24"/>
        <item x="149"/>
        <item x="21"/>
        <item x="221"/>
        <item x="52"/>
        <item x="218"/>
        <item x="8"/>
        <item x="91"/>
        <item x="144"/>
        <item x="125"/>
        <item x="197"/>
        <item x="17"/>
        <item x="228"/>
        <item x="217"/>
        <item x="148"/>
        <item x="51"/>
        <item x="151"/>
        <item x="42"/>
        <item x="147"/>
        <item x="64"/>
        <item x="19"/>
        <item x="40"/>
        <item x="129"/>
        <item x="62"/>
        <item x="50"/>
        <item x="161"/>
        <item x="183"/>
        <item x="23"/>
        <item x="22"/>
        <item x="231"/>
        <item x="106"/>
        <item x="34"/>
        <item x="132"/>
        <item x="193"/>
        <item x="68"/>
        <item x="138"/>
        <item x="2"/>
        <item x="191"/>
        <item x="233"/>
        <item x="123"/>
        <item x="103"/>
        <item x="200"/>
        <item x="65"/>
        <item x="127"/>
        <item x="155"/>
        <item x="226"/>
        <item x="160"/>
        <item x="172"/>
        <item x="211"/>
        <item x="235"/>
        <item x="130"/>
        <item x="234"/>
        <item x="59"/>
        <item t="default"/>
      </items>
    </pivotField>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Gross Revenue" fld="7" baseField="0" baseItem="0" numFmtId="4"/>
    <dataField name="Sum of Monthly Target" fld="15" baseField="0" baseItem="0" numFmtId="4"/>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1206F-5D65-49CC-B1C7-D120BB97BA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9" firstHeaderRow="1" firstDataRow="1" firstDataCol="1"/>
  <pivotFields count="17">
    <pivotField showAll="0"/>
    <pivotField numFmtId="164" showAll="0"/>
    <pivotField axis="axisRow" showAll="0">
      <items count="6">
        <item x="2"/>
        <item x="3"/>
        <item x="0"/>
        <item x="1"/>
        <item x="4"/>
        <item t="default"/>
      </items>
    </pivotField>
    <pivotField showAll="0"/>
    <pivotField showAll="0"/>
    <pivotField showAll="0"/>
    <pivotField numFmtId="4" showAll="0"/>
    <pivotField dataField="1" numFmtId="4" showAll="0"/>
    <pivotField numFmtId="4" showAll="0"/>
    <pivotField numFmtId="4" showAll="0"/>
    <pivotField numFmtId="165" showAll="0"/>
    <pivotField numFmtId="4" showAll="0">
      <items count="251">
        <item x="214"/>
        <item x="240"/>
        <item x="238"/>
        <item x="116"/>
        <item x="38"/>
        <item x="213"/>
        <item x="184"/>
        <item x="129"/>
        <item x="195"/>
        <item x="82"/>
        <item x="125"/>
        <item x="1"/>
        <item x="74"/>
        <item x="235"/>
        <item x="37"/>
        <item x="170"/>
        <item x="145"/>
        <item x="91"/>
        <item x="98"/>
        <item x="11"/>
        <item x="70"/>
        <item x="28"/>
        <item x="122"/>
        <item x="5"/>
        <item x="173"/>
        <item x="20"/>
        <item x="218"/>
        <item x="131"/>
        <item x="196"/>
        <item x="59"/>
        <item x="84"/>
        <item x="164"/>
        <item x="3"/>
        <item x="158"/>
        <item x="215"/>
        <item x="210"/>
        <item x="50"/>
        <item x="25"/>
        <item x="197"/>
        <item x="81"/>
        <item x="31"/>
        <item x="43"/>
        <item x="89"/>
        <item x="108"/>
        <item x="152"/>
        <item x="179"/>
        <item x="39"/>
        <item x="165"/>
        <item x="95"/>
        <item x="10"/>
        <item x="58"/>
        <item x="189"/>
        <item x="139"/>
        <item x="190"/>
        <item x="111"/>
        <item x="120"/>
        <item x="154"/>
        <item x="65"/>
        <item x="185"/>
        <item x="112"/>
        <item x="29"/>
        <item x="68"/>
        <item x="168"/>
        <item x="77"/>
        <item x="101"/>
        <item x="109"/>
        <item x="243"/>
        <item x="207"/>
        <item x="141"/>
        <item x="36"/>
        <item x="147"/>
        <item x="203"/>
        <item x="157"/>
        <item x="105"/>
        <item x="42"/>
        <item x="186"/>
        <item x="187"/>
        <item x="90"/>
        <item x="57"/>
        <item x="41"/>
        <item x="115"/>
        <item x="123"/>
        <item x="33"/>
        <item x="221"/>
        <item x="75"/>
        <item x="227"/>
        <item x="226"/>
        <item x="174"/>
        <item x="182"/>
        <item x="143"/>
        <item x="178"/>
        <item x="48"/>
        <item x="183"/>
        <item x="220"/>
        <item x="193"/>
        <item x="102"/>
        <item x="175"/>
        <item x="85"/>
        <item x="15"/>
        <item x="176"/>
        <item x="106"/>
        <item x="45"/>
        <item x="146"/>
        <item x="55"/>
        <item x="56"/>
        <item x="19"/>
        <item x="136"/>
        <item x="44"/>
        <item x="142"/>
        <item x="128"/>
        <item x="163"/>
        <item x="127"/>
        <item x="150"/>
        <item x="100"/>
        <item x="177"/>
        <item x="188"/>
        <item x="156"/>
        <item x="30"/>
        <item x="73"/>
        <item x="96"/>
        <item x="0"/>
        <item x="97"/>
        <item x="211"/>
        <item x="229"/>
        <item x="119"/>
        <item x="130"/>
        <item x="86"/>
        <item x="114"/>
        <item x="138"/>
        <item x="66"/>
        <item x="35"/>
        <item x="206"/>
        <item x="113"/>
        <item x="78"/>
        <item x="224"/>
        <item x="132"/>
        <item x="199"/>
        <item x="110"/>
        <item x="6"/>
        <item x="200"/>
        <item x="198"/>
        <item x="22"/>
        <item x="217"/>
        <item x="49"/>
        <item x="99"/>
        <item x="12"/>
        <item x="51"/>
        <item x="228"/>
        <item x="153"/>
        <item x="26"/>
        <item x="46"/>
        <item x="88"/>
        <item x="201"/>
        <item x="246"/>
        <item x="194"/>
        <item x="118"/>
        <item x="27"/>
        <item x="134"/>
        <item x="104"/>
        <item x="202"/>
        <item x="62"/>
        <item x="148"/>
        <item x="212"/>
        <item x="161"/>
        <item x="140"/>
        <item x="232"/>
        <item x="16"/>
        <item x="40"/>
        <item x="76"/>
        <item x="2"/>
        <item x="216"/>
        <item x="18"/>
        <item x="64"/>
        <item x="166"/>
        <item x="71"/>
        <item x="61"/>
        <item x="171"/>
        <item x="54"/>
        <item x="24"/>
        <item x="192"/>
        <item x="225"/>
        <item x="205"/>
        <item x="237"/>
        <item x="63"/>
        <item x="208"/>
        <item x="219"/>
        <item x="233"/>
        <item x="67"/>
        <item x="79"/>
        <item x="4"/>
        <item x="159"/>
        <item x="239"/>
        <item x="124"/>
        <item x="8"/>
        <item x="34"/>
        <item x="14"/>
        <item x="53"/>
        <item x="247"/>
        <item x="249"/>
        <item x="133"/>
        <item x="222"/>
        <item x="191"/>
        <item x="126"/>
        <item x="117"/>
        <item x="47"/>
        <item x="7"/>
        <item x="9"/>
        <item x="236"/>
        <item x="231"/>
        <item x="83"/>
        <item x="248"/>
        <item x="21"/>
        <item x="244"/>
        <item x="181"/>
        <item x="209"/>
        <item x="204"/>
        <item x="94"/>
        <item x="23"/>
        <item x="80"/>
        <item x="172"/>
        <item x="137"/>
        <item x="107"/>
        <item x="167"/>
        <item x="223"/>
        <item x="32"/>
        <item x="160"/>
        <item x="169"/>
        <item x="149"/>
        <item x="72"/>
        <item x="93"/>
        <item x="92"/>
        <item x="155"/>
        <item x="242"/>
        <item x="245"/>
        <item x="121"/>
        <item x="230"/>
        <item x="162"/>
        <item x="241"/>
        <item x="17"/>
        <item x="87"/>
        <item x="52"/>
        <item x="144"/>
        <item x="13"/>
        <item x="180"/>
        <item x="234"/>
        <item x="69"/>
        <item x="60"/>
        <item x="103"/>
        <item x="151"/>
        <item x="135"/>
        <item t="default"/>
      </items>
    </pivotField>
    <pivotField showAll="0"/>
    <pivotField showAll="0"/>
    <pivotField showAll="0"/>
    <pivotField numFmtId="4" showAll="0"/>
    <pivotField numFmtId="166" showAll="0"/>
  </pivotFields>
  <rowFields count="1">
    <field x="2"/>
  </rowFields>
  <rowItems count="6">
    <i>
      <x/>
    </i>
    <i>
      <x v="1"/>
    </i>
    <i>
      <x v="2"/>
    </i>
    <i>
      <x v="3"/>
    </i>
    <i>
      <x v="4"/>
    </i>
    <i t="grand">
      <x/>
    </i>
  </rowItems>
  <colItems count="1">
    <i/>
  </colItems>
  <dataFields count="1">
    <dataField name="Sum of Gross Revenue" fld="7" baseField="0" baseItem="0" numFmtId="4"/>
  </dataFields>
  <chartFormats count="63">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2" count="1" selected="0">
            <x v="0"/>
          </reference>
        </references>
      </pivotArea>
    </chartFormat>
    <chartFormat chart="18" format="3">
      <pivotArea type="data" outline="0" fieldPosition="0">
        <references count="2">
          <reference field="4294967294" count="1" selected="0">
            <x v="0"/>
          </reference>
          <reference field="2" count="1" selected="0">
            <x v="1"/>
          </reference>
        </references>
      </pivotArea>
    </chartFormat>
    <chartFormat chart="18" format="4">
      <pivotArea type="data" outline="0" fieldPosition="0">
        <references count="2">
          <reference field="4294967294" count="1" selected="0">
            <x v="0"/>
          </reference>
          <reference field="2" count="1" selected="0">
            <x v="2"/>
          </reference>
        </references>
      </pivotArea>
    </chartFormat>
    <chartFormat chart="18" format="5">
      <pivotArea type="data" outline="0" fieldPosition="0">
        <references count="2">
          <reference field="4294967294" count="1" selected="0">
            <x v="0"/>
          </reference>
          <reference field="2" count="1" selected="0">
            <x v="3"/>
          </reference>
        </references>
      </pivotArea>
    </chartFormat>
    <chartFormat chart="18" format="6">
      <pivotArea type="data" outline="0" fieldPosition="0">
        <references count="2">
          <reference field="4294967294" count="1" selected="0">
            <x v="0"/>
          </reference>
          <reference field="2" count="1" selected="0">
            <x v="4"/>
          </reference>
        </references>
      </pivotArea>
    </chartFormat>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2" count="1" selected="0">
            <x v="0"/>
          </reference>
        </references>
      </pivotArea>
    </chartFormat>
    <chartFormat chart="19" format="9">
      <pivotArea type="data" outline="0" fieldPosition="0">
        <references count="2">
          <reference field="4294967294" count="1" selected="0">
            <x v="0"/>
          </reference>
          <reference field="2" count="1" selected="0">
            <x v="1"/>
          </reference>
        </references>
      </pivotArea>
    </chartFormat>
    <chartFormat chart="19" format="10">
      <pivotArea type="data" outline="0" fieldPosition="0">
        <references count="2">
          <reference field="4294967294" count="1" selected="0">
            <x v="0"/>
          </reference>
          <reference field="2" count="1" selected="0">
            <x v="2"/>
          </reference>
        </references>
      </pivotArea>
    </chartFormat>
    <chartFormat chart="19" format="11">
      <pivotArea type="data" outline="0" fieldPosition="0">
        <references count="2">
          <reference field="4294967294" count="1" selected="0">
            <x v="0"/>
          </reference>
          <reference field="2" count="1" selected="0">
            <x v="3"/>
          </reference>
        </references>
      </pivotArea>
    </chartFormat>
    <chartFormat chart="19" format="12">
      <pivotArea type="data" outline="0" fieldPosition="0">
        <references count="2">
          <reference field="4294967294" count="1" selected="0">
            <x v="0"/>
          </reference>
          <reference field="2" count="1" selected="0">
            <x v="4"/>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2" count="1" selected="0">
            <x v="0"/>
          </reference>
        </references>
      </pivotArea>
    </chartFormat>
    <chartFormat chart="21" format="9">
      <pivotArea type="data" outline="0" fieldPosition="0">
        <references count="2">
          <reference field="4294967294" count="1" selected="0">
            <x v="0"/>
          </reference>
          <reference field="2" count="1" selected="0">
            <x v="1"/>
          </reference>
        </references>
      </pivotArea>
    </chartFormat>
    <chartFormat chart="21" format="10">
      <pivotArea type="data" outline="0" fieldPosition="0">
        <references count="2">
          <reference field="4294967294" count="1" selected="0">
            <x v="0"/>
          </reference>
          <reference field="2" count="1" selected="0">
            <x v="2"/>
          </reference>
        </references>
      </pivotArea>
    </chartFormat>
    <chartFormat chart="21" format="11">
      <pivotArea type="data" outline="0" fieldPosition="0">
        <references count="2">
          <reference field="4294967294" count="1" selected="0">
            <x v="0"/>
          </reference>
          <reference field="2" count="1" selected="0">
            <x v="3"/>
          </reference>
        </references>
      </pivotArea>
    </chartFormat>
    <chartFormat chart="21" format="12">
      <pivotArea type="data" outline="0" fieldPosition="0">
        <references count="2">
          <reference field="4294967294" count="1" selected="0">
            <x v="0"/>
          </reference>
          <reference field="2" count="1" selected="0">
            <x v="4"/>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2" count="1" selected="0">
            <x v="0"/>
          </reference>
        </references>
      </pivotArea>
    </chartFormat>
    <chartFormat chart="20" format="15">
      <pivotArea type="data" outline="0" fieldPosition="0">
        <references count="2">
          <reference field="4294967294" count="1" selected="0">
            <x v="0"/>
          </reference>
          <reference field="2" count="1" selected="0">
            <x v="1"/>
          </reference>
        </references>
      </pivotArea>
    </chartFormat>
    <chartFormat chart="20" format="16">
      <pivotArea type="data" outline="0" fieldPosition="0">
        <references count="2">
          <reference field="4294967294" count="1" selected="0">
            <x v="0"/>
          </reference>
          <reference field="2" count="1" selected="0">
            <x v="2"/>
          </reference>
        </references>
      </pivotArea>
    </chartFormat>
    <chartFormat chart="20" format="17">
      <pivotArea type="data" outline="0" fieldPosition="0">
        <references count="2">
          <reference field="4294967294" count="1" selected="0">
            <x v="0"/>
          </reference>
          <reference field="2" count="1" selected="0">
            <x v="3"/>
          </reference>
        </references>
      </pivotArea>
    </chartFormat>
    <chartFormat chart="20" format="18">
      <pivotArea type="data" outline="0" fieldPosition="0">
        <references count="2">
          <reference field="4294967294" count="1" selected="0">
            <x v="0"/>
          </reference>
          <reference field="2" count="1" selected="0">
            <x v="4"/>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2" count="1" selected="0">
            <x v="0"/>
          </reference>
        </references>
      </pivotArea>
    </chartFormat>
    <chartFormat chart="22" format="15">
      <pivotArea type="data" outline="0" fieldPosition="0">
        <references count="2">
          <reference field="4294967294" count="1" selected="0">
            <x v="0"/>
          </reference>
          <reference field="2" count="1" selected="0">
            <x v="1"/>
          </reference>
        </references>
      </pivotArea>
    </chartFormat>
    <chartFormat chart="22" format="16">
      <pivotArea type="data" outline="0" fieldPosition="0">
        <references count="2">
          <reference field="4294967294" count="1" selected="0">
            <x v="0"/>
          </reference>
          <reference field="2" count="1" selected="0">
            <x v="2"/>
          </reference>
        </references>
      </pivotArea>
    </chartFormat>
    <chartFormat chart="22" format="17">
      <pivotArea type="data" outline="0" fieldPosition="0">
        <references count="2">
          <reference field="4294967294" count="1" selected="0">
            <x v="0"/>
          </reference>
          <reference field="2" count="1" selected="0">
            <x v="3"/>
          </reference>
        </references>
      </pivotArea>
    </chartFormat>
    <chartFormat chart="22" format="18">
      <pivotArea type="data" outline="0" fieldPosition="0">
        <references count="2">
          <reference field="4294967294" count="1" selected="0">
            <x v="0"/>
          </reference>
          <reference field="2" count="1" selected="0">
            <x v="4"/>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2" count="1" selected="0">
            <x v="0"/>
          </reference>
        </references>
      </pivotArea>
    </chartFormat>
    <chartFormat chart="25" format="15">
      <pivotArea type="data" outline="0" fieldPosition="0">
        <references count="2">
          <reference field="4294967294" count="1" selected="0">
            <x v="0"/>
          </reference>
          <reference field="2" count="1" selected="0">
            <x v="1"/>
          </reference>
        </references>
      </pivotArea>
    </chartFormat>
    <chartFormat chart="25" format="16">
      <pivotArea type="data" outline="0" fieldPosition="0">
        <references count="2">
          <reference field="4294967294" count="1" selected="0">
            <x v="0"/>
          </reference>
          <reference field="2" count="1" selected="0">
            <x v="2"/>
          </reference>
        </references>
      </pivotArea>
    </chartFormat>
    <chartFormat chart="25" format="17">
      <pivotArea type="data" outline="0" fieldPosition="0">
        <references count="2">
          <reference field="4294967294" count="1" selected="0">
            <x v="0"/>
          </reference>
          <reference field="2" count="1" selected="0">
            <x v="3"/>
          </reference>
        </references>
      </pivotArea>
    </chartFormat>
    <chartFormat chart="25" format="18">
      <pivotArea type="data" outline="0" fieldPosition="0">
        <references count="2">
          <reference field="4294967294" count="1" selected="0">
            <x v="0"/>
          </reference>
          <reference field="2" count="1" selected="0">
            <x v="4"/>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2" count="1" selected="0">
            <x v="0"/>
          </reference>
        </references>
      </pivotArea>
    </chartFormat>
    <chartFormat chart="31" format="3">
      <pivotArea type="data" outline="0" fieldPosition="0">
        <references count="2">
          <reference field="4294967294" count="1" selected="0">
            <x v="0"/>
          </reference>
          <reference field="2" count="1" selected="0">
            <x v="1"/>
          </reference>
        </references>
      </pivotArea>
    </chartFormat>
    <chartFormat chart="31" format="4">
      <pivotArea type="data" outline="0" fieldPosition="0">
        <references count="2">
          <reference field="4294967294" count="1" selected="0">
            <x v="0"/>
          </reference>
          <reference field="2" count="1" selected="0">
            <x v="2"/>
          </reference>
        </references>
      </pivotArea>
    </chartFormat>
    <chartFormat chart="31" format="5">
      <pivotArea type="data" outline="0" fieldPosition="0">
        <references count="2">
          <reference field="4294967294" count="1" selected="0">
            <x v="0"/>
          </reference>
          <reference field="2" count="1" selected="0">
            <x v="3"/>
          </reference>
        </references>
      </pivotArea>
    </chartFormat>
    <chartFormat chart="31" format="6">
      <pivotArea type="data" outline="0" fieldPosition="0">
        <references count="2">
          <reference field="4294967294" count="1" selected="0">
            <x v="0"/>
          </reference>
          <reference field="2" count="1" selected="0">
            <x v="4"/>
          </reference>
        </references>
      </pivotArea>
    </chartFormat>
    <chartFormat chart="32" format="7" series="1">
      <pivotArea type="data" outline="0" fieldPosition="0">
        <references count="1">
          <reference field="4294967294" count="1" selected="0">
            <x v="0"/>
          </reference>
        </references>
      </pivotArea>
    </chartFormat>
    <chartFormat chart="32" format="8">
      <pivotArea type="data" outline="0" fieldPosition="0">
        <references count="2">
          <reference field="4294967294" count="1" selected="0">
            <x v="0"/>
          </reference>
          <reference field="2" count="1" selected="0">
            <x v="0"/>
          </reference>
        </references>
      </pivotArea>
    </chartFormat>
    <chartFormat chart="32" format="9">
      <pivotArea type="data" outline="0" fieldPosition="0">
        <references count="2">
          <reference field="4294967294" count="1" selected="0">
            <x v="0"/>
          </reference>
          <reference field="2" count="1" selected="0">
            <x v="1"/>
          </reference>
        </references>
      </pivotArea>
    </chartFormat>
    <chartFormat chart="32" format="10">
      <pivotArea type="data" outline="0" fieldPosition="0">
        <references count="2">
          <reference field="4294967294" count="1" selected="0">
            <x v="0"/>
          </reference>
          <reference field="2" count="1" selected="0">
            <x v="2"/>
          </reference>
        </references>
      </pivotArea>
    </chartFormat>
    <chartFormat chart="32" format="11">
      <pivotArea type="data" outline="0" fieldPosition="0">
        <references count="2">
          <reference field="4294967294" count="1" selected="0">
            <x v="0"/>
          </reference>
          <reference field="2" count="1" selected="0">
            <x v="3"/>
          </reference>
        </references>
      </pivotArea>
    </chartFormat>
    <chartFormat chart="32" format="12">
      <pivotArea type="data" outline="0" fieldPosition="0">
        <references count="2">
          <reference field="4294967294" count="1" selected="0">
            <x v="0"/>
          </reference>
          <reference field="2" count="1" selected="0">
            <x v="4"/>
          </reference>
        </references>
      </pivotArea>
    </chartFormat>
    <chartFormat chart="34" format="13" series="1">
      <pivotArea type="data" outline="0" fieldPosition="0">
        <references count="1">
          <reference field="4294967294" count="1" selected="0">
            <x v="0"/>
          </reference>
        </references>
      </pivotArea>
    </chartFormat>
    <chartFormat chart="34" format="14">
      <pivotArea type="data" outline="0" fieldPosition="0">
        <references count="2">
          <reference field="4294967294" count="1" selected="0">
            <x v="0"/>
          </reference>
          <reference field="2" count="1" selected="0">
            <x v="0"/>
          </reference>
        </references>
      </pivotArea>
    </chartFormat>
    <chartFormat chart="34" format="15">
      <pivotArea type="data" outline="0" fieldPosition="0">
        <references count="2">
          <reference field="4294967294" count="1" selected="0">
            <x v="0"/>
          </reference>
          <reference field="2" count="1" selected="0">
            <x v="1"/>
          </reference>
        </references>
      </pivotArea>
    </chartFormat>
    <chartFormat chart="34" format="16">
      <pivotArea type="data" outline="0" fieldPosition="0">
        <references count="2">
          <reference field="4294967294" count="1" selected="0">
            <x v="0"/>
          </reference>
          <reference field="2" count="1" selected="0">
            <x v="2"/>
          </reference>
        </references>
      </pivotArea>
    </chartFormat>
    <chartFormat chart="34" format="17">
      <pivotArea type="data" outline="0" fieldPosition="0">
        <references count="2">
          <reference field="4294967294" count="1" selected="0">
            <x v="0"/>
          </reference>
          <reference field="2" count="1" selected="0">
            <x v="3"/>
          </reference>
        </references>
      </pivotArea>
    </chartFormat>
    <chartFormat chart="34" format="1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D92BE5-B3ED-4337-ABDB-CE4AD8C8A4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15:S28" firstHeaderRow="0" firstDataRow="1" firstDataCol="1"/>
  <pivotFields count="17">
    <pivotField showAll="0"/>
    <pivotField numFmtId="164" showAll="0"/>
    <pivotField showAll="0">
      <items count="6">
        <item x="2"/>
        <item x="3"/>
        <item x="0"/>
        <item x="1"/>
        <item x="4"/>
        <item t="default"/>
      </items>
    </pivotField>
    <pivotField showAll="0"/>
    <pivotField showAll="0"/>
    <pivotField showAll="0"/>
    <pivotField numFmtId="4" showAll="0"/>
    <pivotField dataField="1" numFmtId="4" showAll="0"/>
    <pivotField numFmtId="4" showAll="0"/>
    <pivotField numFmtId="4" showAll="0"/>
    <pivotField numFmtId="165" showAll="0"/>
    <pivotField numFmtId="4" showAll="0"/>
    <pivotField showAll="0"/>
    <pivotField showAll="0"/>
    <pivotField axis="axisRow" showAll="0">
      <items count="13">
        <item x="11"/>
        <item x="3"/>
        <item x="9"/>
        <item x="10"/>
        <item x="2"/>
        <item x="8"/>
        <item x="5"/>
        <item x="6"/>
        <item x="7"/>
        <item x="1"/>
        <item x="0"/>
        <item x="4"/>
        <item t="default"/>
      </items>
    </pivotField>
    <pivotField numFmtId="4" showAll="0"/>
    <pivotField dataField="1" numFmtId="166" showAl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Gross Revenue" fld="7" baseField="0" baseItem="0" numFmtId="4"/>
    <dataField name="Sum of Profit Margin %" fld="16" baseField="0" baseItem="0" numFmtId="166"/>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AEC18F-AC85-47DE-BCBB-4516D0C317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N14:O19" firstHeaderRow="1" firstDataRow="1" firstDataCol="1"/>
  <pivotFields count="17">
    <pivotField showAll="0"/>
    <pivotField numFmtId="164" showAll="0"/>
    <pivotField showAll="0">
      <items count="6">
        <item x="2"/>
        <item x="3"/>
        <item x="0"/>
        <item x="1"/>
        <item x="4"/>
        <item t="default"/>
      </items>
    </pivotField>
    <pivotField axis="axisRow" showAll="0">
      <items count="5">
        <item x="0"/>
        <item x="2"/>
        <item x="3"/>
        <item x="1"/>
        <item t="default"/>
      </items>
    </pivotField>
    <pivotField showAll="0"/>
    <pivotField showAll="0"/>
    <pivotField numFmtId="4" showAll="0"/>
    <pivotField numFmtId="4" showAll="0"/>
    <pivotField numFmtId="4" showAll="0"/>
    <pivotField numFmtId="4" showAll="0"/>
    <pivotField numFmtId="165" showAll="0"/>
    <pivotField numFmtId="4" showAll="0"/>
    <pivotField showAll="0"/>
    <pivotField showAll="0"/>
    <pivotField showAll="0">
      <items count="13">
        <item x="11"/>
        <item x="3"/>
        <item x="9"/>
        <item x="10"/>
        <item x="2"/>
        <item x="8"/>
        <item x="5"/>
        <item x="6"/>
        <item x="7"/>
        <item x="1"/>
        <item x="0"/>
        <item x="4"/>
        <item t="default"/>
      </items>
    </pivotField>
    <pivotField dataField="1" numFmtId="4" showAll="0"/>
    <pivotField numFmtId="166" showAll="0"/>
  </pivotFields>
  <rowFields count="1">
    <field x="3"/>
  </rowFields>
  <rowItems count="5">
    <i>
      <x/>
    </i>
    <i>
      <x v="1"/>
    </i>
    <i>
      <x v="2"/>
    </i>
    <i>
      <x v="3"/>
    </i>
    <i t="grand">
      <x/>
    </i>
  </rowItems>
  <colItems count="1">
    <i/>
  </colItems>
  <dataFields count="1">
    <dataField name="Sum of Monthly Target" fld="15" baseField="0" baseItem="0" numFmtId="4"/>
  </dataFields>
  <chartFormats count="1">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8ED6D4-87AF-417C-AAF6-393F02C7F3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D16" firstHeaderRow="1" firstDataRow="1" firstDataCol="1"/>
  <pivotFields count="17">
    <pivotField showAll="0"/>
    <pivotField numFmtId="164" showAll="0"/>
    <pivotField showAll="0">
      <items count="6">
        <item x="2"/>
        <item x="3"/>
        <item x="0"/>
        <item x="1"/>
        <item x="4"/>
        <item t="default"/>
      </items>
    </pivotField>
    <pivotField axis="axisRow" showAll="0">
      <items count="5">
        <item x="0"/>
        <item x="2"/>
        <item x="3"/>
        <item x="1"/>
        <item t="default"/>
      </items>
    </pivotField>
    <pivotField showAll="0"/>
    <pivotField dataField="1" showAll="0"/>
    <pivotField numFmtId="4" showAll="0"/>
    <pivotField numFmtId="4" showAll="0"/>
    <pivotField numFmtId="4" showAll="0"/>
    <pivotField numFmtId="4" showAll="0"/>
    <pivotField numFmtId="165" showAll="0"/>
    <pivotField numFmtId="4" showAll="0"/>
    <pivotField showAll="0"/>
    <pivotField showAll="0"/>
    <pivotField showAll="0">
      <items count="13">
        <item x="11"/>
        <item x="3"/>
        <item x="9"/>
        <item x="10"/>
        <item x="2"/>
        <item x="8"/>
        <item x="5"/>
        <item x="6"/>
        <item x="7"/>
        <item x="1"/>
        <item x="0"/>
        <item x="4"/>
        <item t="default"/>
      </items>
    </pivotField>
    <pivotField numFmtId="4" showAll="0"/>
    <pivotField numFmtId="166" showAll="0"/>
  </pivotFields>
  <rowFields count="1">
    <field x="3"/>
  </rowFields>
  <rowItems count="5">
    <i>
      <x/>
    </i>
    <i>
      <x v="1"/>
    </i>
    <i>
      <x v="2"/>
    </i>
    <i>
      <x v="3"/>
    </i>
    <i t="grand">
      <x/>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ABB82A-A8D3-40D4-92B5-2E30426D67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6" firstHeaderRow="1" firstDataRow="1" firstDataCol="1"/>
  <pivotFields count="17">
    <pivotField showAll="0"/>
    <pivotField numFmtId="164" showAll="0"/>
    <pivotField showAll="0"/>
    <pivotField showAll="0"/>
    <pivotField showAll="0"/>
    <pivotField showAll="0"/>
    <pivotField numFmtId="4" showAll="0"/>
    <pivotField dataField="1" numFmtId="4" showAll="0"/>
    <pivotField numFmtId="4" showAll="0"/>
    <pivotField numFmtId="4" showAll="0"/>
    <pivotField numFmtId="165" showAll="0"/>
    <pivotField numFmtId="4" showAll="0"/>
    <pivotField showAll="0"/>
    <pivotField showAll="0"/>
    <pivotField axis="axisRow" showAll="0">
      <items count="13">
        <item x="11"/>
        <item x="3"/>
        <item x="9"/>
        <item x="10"/>
        <item x="2"/>
        <item x="8"/>
        <item x="5"/>
        <item x="6"/>
        <item x="7"/>
        <item x="1"/>
        <item x="0"/>
        <item x="4"/>
        <item t="default"/>
      </items>
    </pivotField>
    <pivotField numFmtId="4" showAll="0"/>
    <pivotField numFmtId="166" showAll="0"/>
  </pivotFields>
  <rowFields count="1">
    <field x="14"/>
  </rowFields>
  <rowItems count="13">
    <i>
      <x/>
    </i>
    <i>
      <x v="1"/>
    </i>
    <i>
      <x v="2"/>
    </i>
    <i>
      <x v="3"/>
    </i>
    <i>
      <x v="4"/>
    </i>
    <i>
      <x v="5"/>
    </i>
    <i>
      <x v="6"/>
    </i>
    <i>
      <x v="7"/>
    </i>
    <i>
      <x v="8"/>
    </i>
    <i>
      <x v="9"/>
    </i>
    <i>
      <x v="10"/>
    </i>
    <i>
      <x v="11"/>
    </i>
    <i t="grand">
      <x/>
    </i>
  </rowItems>
  <colItems count="1">
    <i/>
  </colItems>
  <dataFields count="1">
    <dataField name="Sum of Gross Revenue" fld="7"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Revenue" xr10:uid="{7ABA70CB-D9F6-4ED1-AB9A-41A597825FB3}" sourceName="Gross Revenue">
  <pivotTables>
    <pivotTable tabId="2" name="PivotTable2"/>
  </pivotTables>
  <data>
    <tabular pivotCacheId="1636654611">
      <items count="247">
        <i x="212" s="1"/>
        <i x="237" s="1"/>
        <i x="235" s="1"/>
        <i x="115" s="1"/>
        <i x="38" s="1"/>
        <i x="182" s="1"/>
        <i x="211" s="1"/>
        <i x="128" s="1"/>
        <i x="193" s="1"/>
        <i x="1" s="1"/>
        <i x="124" s="1"/>
        <i x="82" s="1"/>
        <i x="74" s="1"/>
        <i x="37" s="1"/>
        <i x="169" s="1"/>
        <i x="5" s="1"/>
        <i x="91" s="1"/>
        <i x="232" s="1"/>
        <i x="144" s="1"/>
        <i x="121" s="1"/>
        <i x="216" s="1"/>
        <i x="20" s="1"/>
        <i x="97" s="1"/>
        <i x="70" s="1"/>
        <i x="11" s="1"/>
        <i x="157" s="1"/>
        <i x="130" s="1"/>
        <i x="208" s="1"/>
        <i x="28" s="1"/>
        <i x="59" s="1"/>
        <i x="81" s="1"/>
        <i x="43" s="1"/>
        <i x="194" s="1"/>
        <i x="31" s="1"/>
        <i x="195" s="1"/>
        <i x="89" s="1"/>
        <i x="3" s="1"/>
        <i x="84" s="1"/>
        <i x="107" s="1"/>
        <i x="163" s="1"/>
        <i x="151" s="1"/>
        <i x="177" s="1"/>
        <i x="213" s="1"/>
        <i x="50" s="1"/>
        <i x="164" s="1"/>
        <i x="25" s="1"/>
        <i x="153" s="1"/>
        <i x="39" s="1"/>
        <i x="65" s="1"/>
        <i x="58" s="1"/>
        <i x="138" s="1"/>
        <i x="167" s="1"/>
        <i x="29" s="1"/>
        <i x="110" s="1"/>
        <i x="119" s="1"/>
        <i x="10" s="1"/>
        <i x="187" s="1"/>
        <i x="183" s="1"/>
        <i x="68" s="1"/>
        <i x="77" s="1"/>
        <i x="240" s="1"/>
        <i x="188" s="1"/>
        <i x="111" s="1"/>
        <i x="108" s="1"/>
        <i x="100" s="1"/>
        <i x="205" s="1"/>
        <i x="140" s="1"/>
        <i x="201" s="1"/>
        <i x="41" s="1"/>
        <i x="185" s="1"/>
        <i x="156" s="1"/>
        <i x="42" s="1"/>
        <i x="36" s="1"/>
        <i x="146" s="1"/>
        <i x="104" s="1"/>
        <i x="90" s="1"/>
        <i x="33" s="1"/>
        <i x="184" s="1"/>
        <i x="219" s="1"/>
        <i x="114" s="1"/>
        <i x="172" s="1"/>
        <i x="57" s="1"/>
        <i x="122" s="1"/>
        <i x="224" s="1"/>
        <i x="191" s="1"/>
        <i x="181" s="1"/>
        <i x="85" s="1"/>
        <i x="75" s="1"/>
        <i x="19" s="1"/>
        <i x="218" s="1"/>
        <i x="225" s="1"/>
        <i x="127" s="1"/>
        <i x="180" s="1"/>
        <i x="173" s="1"/>
        <i x="176" s="1"/>
        <i x="48" s="1"/>
        <i x="174" s="1"/>
        <i x="142" s="1"/>
        <i x="45" s="1"/>
        <i x="141" s="1"/>
        <i x="101" s="1"/>
        <i x="126" s="1"/>
        <i x="149" s="1"/>
        <i x="155" s="1"/>
        <i x="175" s="1"/>
        <i x="145" s="1"/>
        <i x="105" s="1"/>
        <i x="73" s="1"/>
        <i x="56" s="1"/>
        <i x="55" s="1"/>
        <i x="15" s="1"/>
        <i x="99" s="1"/>
        <i x="66" s="1"/>
        <i x="44" s="1"/>
        <i x="0" s="1"/>
        <i x="129" s="1"/>
        <i x="35" s="1"/>
        <i x="118" s="1"/>
        <i x="131" s="1"/>
        <i x="162" s="1"/>
        <i x="95" s="1"/>
        <i x="135" s="1"/>
        <i x="96" s="1"/>
        <i x="186" s="1"/>
        <i x="209" s="1"/>
        <i x="109" s="1"/>
        <i x="227" s="1"/>
        <i x="22" s="1"/>
        <i x="30" s="1"/>
        <i x="196" s="1"/>
        <i x="78" s="1"/>
        <i x="86" s="1"/>
        <i x="137" s="1"/>
        <i x="6" s="1"/>
        <i x="49" s="1"/>
        <i x="51" s="1"/>
        <i x="204" s="1"/>
        <i x="98" s="1"/>
        <i x="112" s="1"/>
        <i x="215" s="1"/>
        <i x="222" s="1"/>
        <i x="113" s="1"/>
        <i x="192" s="1"/>
        <i x="198" s="1"/>
        <i x="88" s="1"/>
        <i x="133" s="1"/>
        <i x="200" s="1"/>
        <i x="243" s="1"/>
        <i x="197" s="1"/>
        <i x="210" s="1"/>
        <i x="152" s="1"/>
        <i x="12" s="1"/>
        <i x="62" s="1"/>
        <i x="2" s="1"/>
        <i x="117" s="1"/>
        <i x="26" s="1"/>
        <i x="46" s="1"/>
        <i x="16" s="1"/>
        <i x="190" s="1"/>
        <i x="147" s="1"/>
        <i x="199" s="1"/>
        <i x="64" s="1"/>
        <i x="27" s="1"/>
        <i x="226" s="1"/>
        <i x="63" s="1"/>
        <i x="139" s="1"/>
        <i x="40" s="1"/>
        <i x="24" s="1"/>
        <i x="103" s="1"/>
        <i x="214" s="1"/>
        <i x="18" s="1"/>
        <i x="236" s="1"/>
        <i x="206" s="1"/>
        <i x="170" s="1"/>
        <i x="165" s="1"/>
        <i x="230" s="1"/>
        <i x="217" s="1"/>
        <i x="76" s="1"/>
        <i x="244" s="1"/>
        <i x="246" s="1"/>
        <i x="234" s="1"/>
        <i x="8" s="1"/>
        <i x="160" s="1"/>
        <i x="71" s="1"/>
        <i x="54" s="1"/>
        <i x="67" s="1"/>
        <i x="79" s="1"/>
        <i x="158" s="1"/>
        <i x="53" s="1"/>
        <i x="245" s="1"/>
        <i x="123" s="1"/>
        <i x="202" s="1"/>
        <i x="61" s="1"/>
        <i x="23" s="1"/>
        <i x="9" s="1"/>
        <i x="229" s="1"/>
        <i x="4" s="1"/>
        <i x="21" s="1"/>
        <i x="203" s="1"/>
        <i x="223" s="1"/>
        <i x="132" s="1"/>
        <i x="179" s="1"/>
        <i x="241" s="1"/>
        <i x="94" s="1"/>
        <i x="136" s="1"/>
        <i x="106" s="1"/>
        <i x="47" s="1"/>
        <i x="166" s="1"/>
        <i x="233" s="1"/>
        <i x="221" s="1"/>
        <i x="32" s="1"/>
        <i x="125" s="1"/>
        <i x="80" s="1"/>
        <i x="83" s="1"/>
        <i x="34" s="1"/>
        <i x="14" s="1"/>
        <i x="239" s="1"/>
        <i x="242" s="1"/>
        <i x="220" s="1"/>
        <i x="116" s="1"/>
        <i x="189" s="1"/>
        <i x="7" s="1"/>
        <i x="154" s="1"/>
        <i x="171" s="1"/>
        <i x="161" s="1"/>
        <i x="207" s="1"/>
        <i x="72" s="1"/>
        <i x="228" s="1"/>
        <i x="143" s="1"/>
        <i x="178" s="1"/>
        <i x="238" s="1"/>
        <i x="159" s="1"/>
        <i x="17" s="1"/>
        <i x="69" s="1"/>
        <i x="87" s="1"/>
        <i x="52" s="1"/>
        <i x="92" s="1"/>
        <i x="60" s="1"/>
        <i x="168" s="1"/>
        <i x="231" s="1"/>
        <i x="148" s="1"/>
        <i x="120" s="1"/>
        <i x="13" s="1"/>
        <i x="93" s="1"/>
        <i x="134" s="1"/>
        <i x="150" s="1"/>
        <i x="10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et_Profit" xr10:uid="{5EFE2B3C-BB00-4482-8D5D-DA5F18B3C299}" sourceName="Total Net Profit">
  <pivotTables>
    <pivotTable tabId="2" name="PivotTable2"/>
  </pivotTables>
  <data>
    <tabular pivotCacheId="1636654611">
      <items count="250">
        <i x="214" s="1"/>
        <i x="240" s="1"/>
        <i x="238" s="1"/>
        <i x="116" s="1"/>
        <i x="38" s="1"/>
        <i x="213" s="1"/>
        <i x="184" s="1"/>
        <i x="129" s="1"/>
        <i x="195" s="1"/>
        <i x="82" s="1"/>
        <i x="125" s="1"/>
        <i x="1" s="1"/>
        <i x="74" s="1"/>
        <i x="235" s="1"/>
        <i x="37" s="1"/>
        <i x="170" s="1"/>
        <i x="145" s="1"/>
        <i x="91" s="1"/>
        <i x="98" s="1"/>
        <i x="11" s="1"/>
        <i x="70" s="1"/>
        <i x="28" s="1"/>
        <i x="122" s="1"/>
        <i x="5" s="1"/>
        <i x="173" s="1"/>
        <i x="20" s="1"/>
        <i x="218" s="1"/>
        <i x="131" s="1"/>
        <i x="196" s="1"/>
        <i x="59" s="1"/>
        <i x="84" s="1"/>
        <i x="164" s="1"/>
        <i x="3" s="1"/>
        <i x="158" s="1"/>
        <i x="215" s="1"/>
        <i x="210" s="1"/>
        <i x="50" s="1"/>
        <i x="25" s="1"/>
        <i x="197" s="1"/>
        <i x="81" s="1"/>
        <i x="31" s="1"/>
        <i x="43" s="1"/>
        <i x="89" s="1"/>
        <i x="108" s="1"/>
        <i x="152" s="1"/>
        <i x="179" s="1"/>
        <i x="39" s="1"/>
        <i x="165" s="1"/>
        <i x="95" s="1"/>
        <i x="10" s="1"/>
        <i x="58" s="1"/>
        <i x="189" s="1"/>
        <i x="139" s="1"/>
        <i x="190" s="1"/>
        <i x="111" s="1"/>
        <i x="120" s="1"/>
        <i x="154" s="1"/>
        <i x="65" s="1"/>
        <i x="185" s="1"/>
        <i x="112" s="1"/>
        <i x="29" s="1"/>
        <i x="68" s="1"/>
        <i x="168" s="1"/>
        <i x="77" s="1"/>
        <i x="101" s="1"/>
        <i x="109" s="1"/>
        <i x="243" s="1"/>
        <i x="207" s="1"/>
        <i x="141" s="1"/>
        <i x="36" s="1"/>
        <i x="147" s="1"/>
        <i x="203" s="1"/>
        <i x="157" s="1"/>
        <i x="105" s="1"/>
        <i x="42" s="1"/>
        <i x="186" s="1"/>
        <i x="187" s="1"/>
        <i x="90" s="1"/>
        <i x="57" s="1"/>
        <i x="41" s="1"/>
        <i x="115" s="1"/>
        <i x="123" s="1"/>
        <i x="33" s="1"/>
        <i x="221" s="1"/>
        <i x="75" s="1"/>
        <i x="227" s="1"/>
        <i x="226" s="1"/>
        <i x="174" s="1"/>
        <i x="182" s="1"/>
        <i x="143" s="1"/>
        <i x="178" s="1"/>
        <i x="48" s="1"/>
        <i x="183" s="1"/>
        <i x="220" s="1"/>
        <i x="193" s="1"/>
        <i x="102" s="1"/>
        <i x="175" s="1"/>
        <i x="85" s="1"/>
        <i x="15" s="1"/>
        <i x="176" s="1"/>
        <i x="106" s="1"/>
        <i x="45" s="1"/>
        <i x="146" s="1"/>
        <i x="55" s="1"/>
        <i x="56" s="1"/>
        <i x="19" s="1"/>
        <i x="136" s="1"/>
        <i x="44" s="1"/>
        <i x="142" s="1"/>
        <i x="128" s="1"/>
        <i x="163" s="1"/>
        <i x="127" s="1"/>
        <i x="150" s="1"/>
        <i x="100" s="1"/>
        <i x="177" s="1"/>
        <i x="188" s="1"/>
        <i x="156" s="1"/>
        <i x="30" s="1"/>
        <i x="73" s="1"/>
        <i x="96" s="1"/>
        <i x="0" s="1"/>
        <i x="97" s="1"/>
        <i x="211" s="1"/>
        <i x="229" s="1"/>
        <i x="119" s="1"/>
        <i x="130" s="1"/>
        <i x="86" s="1"/>
        <i x="114" s="1"/>
        <i x="138" s="1"/>
        <i x="66" s="1"/>
        <i x="35" s="1"/>
        <i x="206" s="1"/>
        <i x="113" s="1"/>
        <i x="78" s="1"/>
        <i x="224" s="1"/>
        <i x="132" s="1"/>
        <i x="199" s="1"/>
        <i x="110" s="1"/>
        <i x="6" s="1"/>
        <i x="200" s="1"/>
        <i x="198" s="1"/>
        <i x="22" s="1"/>
        <i x="217" s="1"/>
        <i x="49" s="1"/>
        <i x="99" s="1"/>
        <i x="12" s="1"/>
        <i x="51" s="1"/>
        <i x="228" s="1"/>
        <i x="153" s="1"/>
        <i x="26" s="1"/>
        <i x="46" s="1"/>
        <i x="88" s="1"/>
        <i x="201" s="1"/>
        <i x="246" s="1"/>
        <i x="194" s="1"/>
        <i x="118" s="1"/>
        <i x="27" s="1"/>
        <i x="134" s="1"/>
        <i x="104" s="1"/>
        <i x="202" s="1"/>
        <i x="62" s="1"/>
        <i x="148" s="1"/>
        <i x="212" s="1"/>
        <i x="161" s="1"/>
        <i x="140" s="1"/>
        <i x="232" s="1"/>
        <i x="16" s="1"/>
        <i x="40" s="1"/>
        <i x="76" s="1"/>
        <i x="2" s="1"/>
        <i x="216" s="1"/>
        <i x="18" s="1"/>
        <i x="64" s="1"/>
        <i x="166" s="1"/>
        <i x="71" s="1"/>
        <i x="61" s="1"/>
        <i x="171" s="1"/>
        <i x="54" s="1"/>
        <i x="24" s="1"/>
        <i x="192" s="1"/>
        <i x="225" s="1"/>
        <i x="205" s="1"/>
        <i x="237" s="1"/>
        <i x="63" s="1"/>
        <i x="208" s="1"/>
        <i x="219" s="1"/>
        <i x="233" s="1"/>
        <i x="67" s="1"/>
        <i x="79" s="1"/>
        <i x="4" s="1"/>
        <i x="159" s="1"/>
        <i x="239" s="1"/>
        <i x="124" s="1"/>
        <i x="8" s="1"/>
        <i x="34" s="1"/>
        <i x="14" s="1"/>
        <i x="53" s="1"/>
        <i x="247" s="1"/>
        <i x="249" s="1"/>
        <i x="133" s="1"/>
        <i x="222" s="1"/>
        <i x="191" s="1"/>
        <i x="126" s="1"/>
        <i x="117" s="1"/>
        <i x="47" s="1"/>
        <i x="7" s="1"/>
        <i x="9" s="1"/>
        <i x="236" s="1"/>
        <i x="231" s="1"/>
        <i x="83" s="1"/>
        <i x="248" s="1"/>
        <i x="21" s="1"/>
        <i x="244" s="1"/>
        <i x="181" s="1"/>
        <i x="209" s="1"/>
        <i x="204" s="1"/>
        <i x="94" s="1"/>
        <i x="23" s="1"/>
        <i x="80" s="1"/>
        <i x="172" s="1"/>
        <i x="137" s="1"/>
        <i x="107" s="1"/>
        <i x="167" s="1"/>
        <i x="223" s="1"/>
        <i x="32" s="1"/>
        <i x="160" s="1"/>
        <i x="169" s="1"/>
        <i x="149" s="1"/>
        <i x="72" s="1"/>
        <i x="93" s="1"/>
        <i x="92" s="1"/>
        <i x="155" s="1"/>
        <i x="242" s="1"/>
        <i x="245" s="1"/>
        <i x="121" s="1"/>
        <i x="230" s="1"/>
        <i x="162" s="1"/>
        <i x="241" s="1"/>
        <i x="17" s="1"/>
        <i x="87" s="1"/>
        <i x="52" s="1"/>
        <i x="144" s="1"/>
        <i x="13" s="1"/>
        <i x="180" s="1"/>
        <i x="234" s="1"/>
        <i x="69" s="1"/>
        <i x="60" s="1"/>
        <i x="103" s="1"/>
        <i x="151" s="1"/>
        <i x="13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Target" xr10:uid="{97248F74-E584-4BAB-AB1F-E6F289FB625A}" sourceName="Monthly Target">
  <pivotTables>
    <pivotTable tabId="2" name="PivotTable2"/>
  </pivotTables>
  <data>
    <tabular pivotCacheId="1636654611">
      <items count="250">
        <i x="210" s="1"/>
        <i x="58" s="1"/>
        <i x="207" s="1"/>
        <i x="187" s="1"/>
        <i x="220" s="1"/>
        <i x="206" s="1"/>
        <i x="142" s="1"/>
        <i x="75" s="1"/>
        <i x="56" s="1"/>
        <i x="77" s="1"/>
        <i x="89" s="1"/>
        <i x="195" s="1"/>
        <i x="5" s="1"/>
        <i x="116" s="1"/>
        <i x="123" s="1"/>
        <i x="196" s="1"/>
        <i x="128" s="1"/>
        <i x="111" s="1"/>
        <i x="213" s="1"/>
        <i x="136" s="1"/>
        <i x="184" s="1"/>
        <i x="90" s="1"/>
        <i x="125" s="1"/>
        <i x="11" s="1"/>
        <i x="50" s="1"/>
        <i x="186" s="1"/>
        <i x="10" s="1"/>
        <i x="164" s="1"/>
        <i x="152" s="1"/>
        <i x="31" s="1"/>
        <i x="238" s="1"/>
        <i x="78" s="1"/>
        <i x="215" s="1"/>
        <i x="221" s="1"/>
        <i x="68" s="1"/>
        <i x="127" s="1"/>
        <i x="143" s="1"/>
        <i x="240" s="1"/>
        <i x="44" s="1"/>
        <i x="141" s="1"/>
        <i x="109" s="1"/>
        <i x="106" s="1"/>
        <i x="214" s="1"/>
        <i x="145" s="1"/>
        <i x="226" s="1"/>
        <i x="158" s="1"/>
        <i x="57" s="1"/>
        <i x="120" s="1"/>
        <i x="48" s="1"/>
        <i x="81" s="1"/>
        <i x="190" s="1"/>
        <i x="119" s="1"/>
        <i x="96" s="1"/>
        <i x="203" s="1"/>
        <i x="122" s="1"/>
        <i x="43" s="1"/>
        <i x="174" s="1"/>
        <i x="139" s="1"/>
        <i x="42" s="1"/>
        <i x="131" s="1"/>
        <i x="182" s="1"/>
        <i x="170" s="1"/>
        <i x="88" s="1"/>
        <i x="85" s="1"/>
        <i x="113" s="1"/>
        <i x="49" s="1"/>
        <i x="51" s="1"/>
        <i x="82" s="1"/>
        <i x="246" s="1"/>
        <i x="39" s="1"/>
        <i x="157" s="1"/>
        <i x="233" s="1"/>
        <i x="59" s="1"/>
        <i x="3" s="1"/>
        <i x="110" s="1"/>
        <i x="86" s="1"/>
        <i x="54" s="1"/>
        <i x="211" s="1"/>
        <i x="21" s="1"/>
        <i x="36" s="1"/>
        <i x="15" s="1"/>
        <i x="219" s="1"/>
        <i x="175" s="1"/>
        <i x="114" s="1"/>
        <i x="163" s="1"/>
        <i x="205" s="1"/>
        <i x="202" s="1"/>
        <i x="8" s="1"/>
        <i x="177" s="1"/>
        <i x="197" s="1"/>
        <i x="173" s="1"/>
        <i x="179" s="1"/>
        <i x="41" s="1"/>
        <i x="12" s="1"/>
        <i x="165" s="1"/>
        <i x="166" s="1"/>
        <i x="243" s="1"/>
        <i x="129" s="1"/>
        <i x="138" s="1"/>
        <i x="153" s="1"/>
        <i x="46" s="1"/>
        <i x="156" s="1"/>
        <i x="161" s="1"/>
        <i x="112" s="1"/>
        <i x="223" s="1"/>
        <i x="222" s="1"/>
        <i x="168" s="1"/>
        <i x="79" s="1"/>
        <i x="24" s="1"/>
        <i x="40" s="1"/>
        <i x="80" s="1"/>
        <i x="231" s="1"/>
        <i x="242" s="1"/>
        <i x="247" s="1"/>
        <i x="91" s="1"/>
        <i x="95" s="1"/>
        <i x="72" s="1"/>
        <i x="171" s="1"/>
        <i x="20" s="1"/>
        <i x="67" s="1"/>
        <i x="188" s="1"/>
        <i x="124" s="1"/>
        <i x="73" s="1"/>
        <i x="204" s="1"/>
        <i x="198" s="1"/>
        <i x="76" s="1"/>
        <i x="18" s="1"/>
        <i x="33" s="1"/>
        <i x="227" s="1"/>
        <i x="118" s="1"/>
        <i x="185" s="1"/>
        <i x="74" s="1"/>
        <i x="2" s="1"/>
        <i x="194" s="1"/>
        <i x="201" s="1"/>
        <i x="9" s="1"/>
        <i x="84" s="1"/>
        <i x="22" s="1"/>
        <i x="193" s="1"/>
        <i x="237" s="1"/>
        <i x="1" s="1"/>
        <i x="37" s="1"/>
        <i x="208" s="1"/>
        <i x="60" s="1"/>
        <i x="27" s="1"/>
        <i x="172" s="1"/>
        <i x="154" s="1"/>
        <i x="104" s="1"/>
        <i x="224" s="1"/>
        <i x="63" s="1"/>
        <i x="235" s="1"/>
        <i x="199" s="1"/>
        <i x="26" s="1"/>
        <i x="61" s="1"/>
        <i x="230" s="1"/>
        <i x="192" s="1"/>
        <i x="228" s="1"/>
        <i x="209" s="1"/>
        <i x="32" s="1"/>
        <i x="25" s="1"/>
        <i x="212" s="1"/>
        <i x="117" s="1"/>
        <i x="23" s="1"/>
        <i x="216" s="1"/>
        <i x="53" s="1"/>
        <i x="28" s="1"/>
        <i x="34" s="1"/>
        <i x="45" s="1"/>
        <i x="217" s="1"/>
        <i x="102" s="1"/>
        <i x="126" s="1"/>
        <i x="19" s="1"/>
        <i x="137" s="1"/>
        <i x="155" s="1"/>
        <i x="17" s="1"/>
        <i x="229" s="1"/>
        <i x="151" s="1"/>
        <i x="239" s="1"/>
        <i x="191" s="1"/>
        <i x="232" s="1"/>
        <i x="98" s="1"/>
        <i x="66" s="1"/>
        <i x="244" s="1"/>
        <i x="181" s="1"/>
        <i x="183" s="1"/>
        <i x="140" s="1"/>
        <i x="169" s="1"/>
        <i x="108" s="1"/>
        <i x="29" s="1"/>
        <i x="160" s="1"/>
        <i x="245" s="1"/>
        <i x="13" s="1"/>
        <i x="107" s="1"/>
        <i x="225" s="1"/>
        <i x="147" s="1"/>
        <i x="148" s="1"/>
        <i x="105" s="1"/>
        <i x="234" s="1"/>
        <i x="14" s="1"/>
        <i x="38" s="1"/>
        <i x="180" s="1"/>
        <i x="65" s="1"/>
        <i x="97" s="1"/>
        <i x="52" s="1"/>
        <i x="101" s="1"/>
        <i x="115" s="1"/>
        <i x="149" s="1"/>
        <i x="176" s="1"/>
        <i x="94" s="1"/>
        <i x="134" s="1"/>
        <i x="6" s="1"/>
        <i x="16" s="1"/>
        <i x="99" s="1"/>
        <i x="92" s="1"/>
        <i x="150" s="1"/>
        <i x="0" s="1"/>
        <i x="71" s="1"/>
        <i x="93" s="1"/>
        <i x="133" s="1"/>
        <i x="100" s="1"/>
        <i x="159" s="1"/>
        <i x="189" s="1"/>
        <i x="47" s="1"/>
        <i x="55" s="1"/>
        <i x="121" s="1"/>
        <i x="236" s="1"/>
        <i x="218" s="1"/>
        <i x="87" s="1"/>
        <i x="130" s="1"/>
        <i x="70" s="1"/>
        <i x="249" s="1"/>
        <i x="103" s="1"/>
        <i x="144" s="1"/>
        <i x="132" s="1"/>
        <i x="7" s="1"/>
        <i x="64" s="1"/>
        <i x="162" s="1"/>
        <i x="69" s="1"/>
        <i x="248" s="1"/>
        <i x="4" s="1"/>
        <i x="62" s="1"/>
        <i x="167" s="1"/>
        <i x="241" s="1"/>
        <i x="83" s="1"/>
        <i x="200" s="1"/>
        <i x="146" s="1"/>
        <i x="135" s="1"/>
        <i x="178" s="1"/>
        <i x="35" s="1"/>
        <i x="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Margin" xr10:uid="{A5B8600D-5F1A-4FFA-B2D4-FC3B249D6C71}" sourceName="Profit Margin %">
  <pivotTables>
    <pivotTable tabId="2" name="PivotTable2"/>
  </pivotTables>
  <data>
    <tabular pivotCacheId="1636654611">
      <items count="236">
        <i x="202" s="1"/>
        <i x="227" s="1"/>
        <i x="112" s="1"/>
        <i x="225" s="1"/>
        <i x="201" s="1"/>
        <i x="124" s="1"/>
        <i x="37" s="1"/>
        <i x="176" s="1"/>
        <i x="28" s="1"/>
        <i x="222" s="1"/>
        <i x="94" s="1"/>
        <i x="25" s="1"/>
        <i x="11" s="1"/>
        <i x="203" s="1"/>
        <i x="81" s="1"/>
        <i x="186" s="1"/>
        <i x="49" s="1"/>
        <i x="185" s="1"/>
        <i x="182" s="1"/>
        <i x="35" s="1"/>
        <i x="139" s="1"/>
        <i x="101" s="1"/>
        <i x="10" s="1"/>
        <i x="157" s="1"/>
        <i x="178" s="1"/>
        <i x="137" s="1"/>
        <i x="181" s="1"/>
        <i x="83" s="1"/>
        <i x="69" s="1"/>
        <i x="98" s="1"/>
        <i x="108" s="1"/>
        <i x="15" s="1"/>
        <i x="131" s="1"/>
        <i x="170" s="1"/>
        <i x="141" s="1"/>
        <i x="174" s="1"/>
        <i x="126" s="1"/>
        <i x="56" s="1"/>
        <i x="47" s="1"/>
        <i x="214" s="1"/>
        <i x="188" s="1"/>
        <i x="30" s="1"/>
        <i x="110" s="1"/>
        <i x="74" s="1"/>
        <i x="166" s="1"/>
        <i x="88" s="1"/>
        <i x="33" s="1"/>
        <i x="154" s="1"/>
        <i x="58" s="1"/>
        <i x="210" s="1"/>
        <i x="7" s="1"/>
        <i x="60" s="1"/>
        <i x="73" s="1"/>
        <i x="215" s="1"/>
        <i x="198" s="1"/>
        <i x="113" s="1"/>
        <i x="90" s="1"/>
        <i x="143" s="1"/>
        <i x="162" s="1"/>
        <i x="14" s="1"/>
        <i x="194" s="1"/>
        <i x="163" s="1"/>
        <i x="97" s="1"/>
        <i x="3" s="1"/>
        <i x="120" s="1"/>
        <i x="196" s="1"/>
        <i x="20" s="1"/>
        <i x="87" s="1"/>
        <i x="111" s="1"/>
        <i x="150" s="1"/>
        <i x="118" s="1"/>
        <i x="36" s="1"/>
        <i x="180" s="1"/>
        <i x="102" s="1"/>
        <i x="54" s="1"/>
        <i x="38" s="1"/>
        <i x="156" s="1"/>
        <i x="136" s="1"/>
        <i x="208" s="1"/>
        <i x="109" s="1"/>
        <i x="43" s="1"/>
        <i x="145" s="1"/>
        <i x="168" s="1"/>
        <i x="41" s="1"/>
        <i x="100" s="1"/>
        <i x="140" s="1"/>
        <i x="70" s="1"/>
        <i x="195" s="1"/>
        <i x="212" s="1"/>
        <i x="4" s="1"/>
        <i x="53" s="1"/>
        <i x="115" s="1"/>
        <i x="133" s="1"/>
        <i x="12" s="1"/>
        <i x="189" s="1"/>
        <i x="105" s="1"/>
        <i x="177" s="1"/>
        <i x="153" s="1"/>
        <i x="75" s="1"/>
        <i x="116" s="1"/>
        <i x="190" s="1"/>
        <i x="55" s="1"/>
        <i x="121" s="1"/>
        <i x="89" s="1"/>
        <i x="27" s="1"/>
        <i x="220" s="1"/>
        <i x="219" s="1"/>
        <i x="117" s="1"/>
        <i x="82" s="1"/>
        <i x="165" s="1"/>
        <i x="45" s="1"/>
        <i x="26" s="1"/>
        <i x="104" s="1"/>
        <i x="107" s="1"/>
        <i x="134" s="1"/>
        <i x="206" s="1"/>
        <i x="192" s="1"/>
        <i x="76" s="1"/>
        <i x="213" s="1"/>
        <i x="67" s="1"/>
        <i x="175" s="1"/>
        <i x="31" s="1"/>
        <i x="209" s="1"/>
        <i x="92" s="1"/>
        <i x="179" s="1"/>
        <i x="216" s="1"/>
        <i x="57" s="1"/>
        <i x="32" s="1"/>
        <i x="86" s="1"/>
        <i x="44" s="1"/>
        <i x="199" s="1"/>
        <i x="158" s="1"/>
        <i x="96" s="1"/>
        <i x="171" s="1"/>
        <i x="159" s="1"/>
        <i x="93" s="1"/>
        <i x="205" s="1"/>
        <i x="78" s="1"/>
        <i x="66" s="1"/>
        <i x="18" s="1"/>
        <i x="135" s="1"/>
        <i x="79" s="1"/>
        <i x="46" s="1"/>
        <i x="167" s="1"/>
        <i x="223" s="1"/>
        <i x="77" s="1"/>
        <i x="39" s="1"/>
        <i x="146" s="1"/>
        <i x="128" s="1"/>
        <i x="6" s="1"/>
        <i x="71" s="1"/>
        <i x="224" s="1"/>
        <i x="184" s="1"/>
        <i x="164" s="1"/>
        <i x="142" s="1"/>
        <i x="204" s="1"/>
        <i x="13" s="1"/>
        <i x="119" s="1"/>
        <i x="152" s="1"/>
        <i x="99" s="1"/>
        <i x="229" s="1"/>
        <i x="1" s="1"/>
        <i x="0" s="1"/>
        <i x="169" s="1"/>
        <i x="187" s="1"/>
        <i x="29" s="1"/>
        <i x="84" s="1"/>
        <i x="114" s="1"/>
        <i x="95" s="1"/>
        <i x="72" s="1"/>
        <i x="85" s="1"/>
        <i x="5" s="1"/>
        <i x="63" s="1"/>
        <i x="61" s="1"/>
        <i x="80" s="1"/>
        <i x="207" s="1"/>
        <i x="230" s="1"/>
        <i x="16" s="1"/>
        <i x="48" s="1"/>
        <i x="232" s="1"/>
        <i x="122" s="1"/>
        <i x="9" s="1"/>
        <i x="173" s="1"/>
        <i x="24" s="1"/>
        <i x="149" s="1"/>
        <i x="21" s="1"/>
        <i x="221" s="1"/>
        <i x="52" s="1"/>
        <i x="218" s="1"/>
        <i x="8" s="1"/>
        <i x="91" s="1"/>
        <i x="144" s="1"/>
        <i x="125" s="1"/>
        <i x="197" s="1"/>
        <i x="17" s="1"/>
        <i x="228" s="1"/>
        <i x="217" s="1"/>
        <i x="148" s="1"/>
        <i x="51" s="1"/>
        <i x="151" s="1"/>
        <i x="42" s="1"/>
        <i x="147" s="1"/>
        <i x="64" s="1"/>
        <i x="19" s="1"/>
        <i x="40" s="1"/>
        <i x="129" s="1"/>
        <i x="62" s="1"/>
        <i x="50" s="1"/>
        <i x="161" s="1"/>
        <i x="183" s="1"/>
        <i x="23" s="1"/>
        <i x="22" s="1"/>
        <i x="231" s="1"/>
        <i x="106" s="1"/>
        <i x="34" s="1"/>
        <i x="132" s="1"/>
        <i x="193" s="1"/>
        <i x="68" s="1"/>
        <i x="138" s="1"/>
        <i x="2" s="1"/>
        <i x="191" s="1"/>
        <i x="233" s="1"/>
        <i x="123" s="1"/>
        <i x="103" s="1"/>
        <i x="200" s="1"/>
        <i x="65" s="1"/>
        <i x="127" s="1"/>
        <i x="155" s="1"/>
        <i x="226" s="1"/>
        <i x="160" s="1"/>
        <i x="172" s="1"/>
        <i x="211" s="1"/>
        <i x="235" s="1"/>
        <i x="130" s="1"/>
        <i x="234" s="1"/>
        <i x="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ss Revenue" xr10:uid="{E3729D3D-9DB2-414A-97C6-A06B70BCAE47}" cache="Slicer_Gross_Revenue" caption="Gross Revenue" style="SlicerStyleLight2" rowHeight="258938"/>
  <slicer name="Total Net Profit" xr10:uid="{4FBFF1AA-3597-4115-AF62-9122B45A0C16}" cache="Slicer_Total_Net_Profit" caption="Total Net Profit" style="SlicerStyleLight2" rowHeight="258938"/>
  <slicer name="Monthly Target" xr10:uid="{763832A1-E33D-45A2-B461-9988CB45E6AD}" cache="Slicer_Monthly_Target" caption="Monthly Target" startItem="12" style="SlicerStyleLight2" rowHeight="258938"/>
  <slicer name="Profit Margin %" xr10:uid="{E9211222-F9E3-4784-B328-1A61783EDCE7}" cache="Slicer_Profit_Margin" caption="Profit Margin %" style="SlicerStyleLight2" rowHeight="2589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709D7-F996-4391-A613-B11BCDBA7A68}">
  <dimension ref="A3:S28"/>
  <sheetViews>
    <sheetView zoomScale="61" workbookViewId="0">
      <selection activeCell="A3" sqref="A3"/>
    </sheetView>
  </sheetViews>
  <sheetFormatPr defaultRowHeight="15.35" x14ac:dyDescent="0.3"/>
  <cols>
    <col min="1" max="1" width="16.33203125" bestFit="1" customWidth="1"/>
    <col min="2" max="2" width="24.88671875" bestFit="1" customWidth="1"/>
    <col min="4" max="4" width="16.33203125" bestFit="1" customWidth="1"/>
    <col min="5" max="5" width="24.88671875" bestFit="1" customWidth="1"/>
    <col min="6" max="6" width="24.5546875" bestFit="1" customWidth="1"/>
    <col min="8" max="8" width="16.33203125" bestFit="1" customWidth="1"/>
    <col min="9" max="9" width="24.6640625" bestFit="1" customWidth="1"/>
    <col min="10" max="10" width="15.6640625" customWidth="1"/>
    <col min="11" max="11" width="16.33203125" bestFit="1" customWidth="1"/>
    <col min="12" max="12" width="24.88671875" bestFit="1" customWidth="1"/>
    <col min="14" max="14" width="17.21875" bestFit="1" customWidth="1"/>
    <col min="15" max="15" width="24.5546875" bestFit="1" customWidth="1"/>
    <col min="17" max="17" width="12" bestFit="1" customWidth="1"/>
    <col min="18" max="18" width="19" bestFit="1" customWidth="1"/>
    <col min="19" max="19" width="18.5546875" bestFit="1" customWidth="1"/>
  </cols>
  <sheetData>
    <row r="3" spans="1:19" x14ac:dyDescent="0.3">
      <c r="A3" s="14" t="s">
        <v>301</v>
      </c>
      <c r="B3" t="s">
        <v>303</v>
      </c>
    </row>
    <row r="4" spans="1:19" x14ac:dyDescent="0.3">
      <c r="A4" s="15" t="s">
        <v>36</v>
      </c>
      <c r="B4" s="16">
        <v>1433814</v>
      </c>
      <c r="D4" s="14" t="s">
        <v>301</v>
      </c>
      <c r="E4" t="s">
        <v>303</v>
      </c>
      <c r="F4" t="s">
        <v>304</v>
      </c>
    </row>
    <row r="5" spans="1:19" x14ac:dyDescent="0.3">
      <c r="A5" s="15" t="s">
        <v>39</v>
      </c>
      <c r="B5" s="16">
        <v>1222708</v>
      </c>
      <c r="D5" s="15" t="s">
        <v>79</v>
      </c>
      <c r="E5" s="16">
        <v>379750</v>
      </c>
      <c r="F5" s="16">
        <v>815079.66</v>
      </c>
    </row>
    <row r="6" spans="1:19" x14ac:dyDescent="0.3">
      <c r="A6" s="15" t="s">
        <v>18</v>
      </c>
      <c r="B6" s="16">
        <v>1086763</v>
      </c>
      <c r="D6" s="15" t="s">
        <v>44</v>
      </c>
      <c r="E6" s="16">
        <v>633125</v>
      </c>
      <c r="F6" s="16">
        <v>879437.66</v>
      </c>
      <c r="H6" s="14" t="s">
        <v>301</v>
      </c>
      <c r="I6" t="s">
        <v>305</v>
      </c>
    </row>
    <row r="7" spans="1:19" x14ac:dyDescent="0.3">
      <c r="A7" s="15" t="s">
        <v>29</v>
      </c>
      <c r="B7" s="16">
        <v>1253577</v>
      </c>
      <c r="D7" s="15" t="s">
        <v>66</v>
      </c>
      <c r="E7" s="16">
        <v>348475</v>
      </c>
      <c r="F7" s="16">
        <v>717999.72</v>
      </c>
      <c r="H7" s="15" t="s">
        <v>34</v>
      </c>
      <c r="I7" s="16">
        <v>377302.34</v>
      </c>
    </row>
    <row r="8" spans="1:19" x14ac:dyDescent="0.3">
      <c r="A8" s="15" t="s">
        <v>55</v>
      </c>
      <c r="B8" s="16">
        <v>1056255</v>
      </c>
      <c r="D8" s="15" t="s">
        <v>69</v>
      </c>
      <c r="E8" s="16">
        <v>151377</v>
      </c>
      <c r="F8" s="16">
        <v>399668.57</v>
      </c>
      <c r="H8" s="15" t="s">
        <v>302</v>
      </c>
      <c r="I8" s="16">
        <v>377302.34</v>
      </c>
    </row>
    <row r="9" spans="1:19" x14ac:dyDescent="0.3">
      <c r="A9" s="15" t="s">
        <v>302</v>
      </c>
      <c r="B9" s="16">
        <v>6053117</v>
      </c>
      <c r="D9" s="15" t="s">
        <v>34</v>
      </c>
      <c r="E9" s="16">
        <v>554012</v>
      </c>
      <c r="F9" s="16">
        <v>1025010.84</v>
      </c>
      <c r="K9" s="14" t="s">
        <v>301</v>
      </c>
      <c r="L9" t="s">
        <v>303</v>
      </c>
    </row>
    <row r="10" spans="1:19" x14ac:dyDescent="0.3">
      <c r="D10" s="15" t="s">
        <v>63</v>
      </c>
      <c r="E10" s="16">
        <v>762982</v>
      </c>
      <c r="F10" s="16">
        <v>1005887.13</v>
      </c>
      <c r="K10" s="15" t="s">
        <v>25</v>
      </c>
      <c r="L10" s="16">
        <v>437325</v>
      </c>
    </row>
    <row r="11" spans="1:19" x14ac:dyDescent="0.3">
      <c r="D11" s="15" t="s">
        <v>48</v>
      </c>
      <c r="E11" s="16">
        <v>560908</v>
      </c>
      <c r="F11" s="16">
        <v>936006.82</v>
      </c>
      <c r="K11" s="15" t="s">
        <v>58</v>
      </c>
      <c r="L11" s="16">
        <v>831639</v>
      </c>
    </row>
    <row r="12" spans="1:19" x14ac:dyDescent="0.3">
      <c r="D12" s="15" t="s">
        <v>53</v>
      </c>
      <c r="E12" s="16">
        <v>651533</v>
      </c>
      <c r="F12" s="16">
        <v>1027424.8999999999</v>
      </c>
      <c r="K12" s="15" t="s">
        <v>51</v>
      </c>
      <c r="L12" s="16">
        <v>576178</v>
      </c>
    </row>
    <row r="13" spans="1:19" x14ac:dyDescent="0.3">
      <c r="D13" s="15" t="s">
        <v>59</v>
      </c>
      <c r="E13" s="16">
        <v>611711</v>
      </c>
      <c r="F13" s="16">
        <v>1014871.93</v>
      </c>
      <c r="K13" s="15" t="s">
        <v>30</v>
      </c>
      <c r="L13" s="16">
        <v>442157</v>
      </c>
    </row>
    <row r="14" spans="1:19" x14ac:dyDescent="0.3">
      <c r="D14" s="15" t="s">
        <v>27</v>
      </c>
      <c r="E14" s="16">
        <v>502296</v>
      </c>
      <c r="F14" s="16">
        <v>870836.89999999991</v>
      </c>
      <c r="K14" s="15" t="s">
        <v>20</v>
      </c>
      <c r="L14" s="16">
        <v>767299</v>
      </c>
      <c r="N14" s="14" t="s">
        <v>301</v>
      </c>
      <c r="O14" t="s">
        <v>304</v>
      </c>
    </row>
    <row r="15" spans="1:19" x14ac:dyDescent="0.3">
      <c r="D15" s="15" t="s">
        <v>22</v>
      </c>
      <c r="E15" s="16">
        <v>593189</v>
      </c>
      <c r="F15" s="16">
        <v>976310.85</v>
      </c>
      <c r="K15" s="15" t="s">
        <v>33</v>
      </c>
      <c r="L15" s="16">
        <v>609273</v>
      </c>
      <c r="N15" s="15" t="s">
        <v>19</v>
      </c>
      <c r="O15" s="16">
        <v>3699809.6300000004</v>
      </c>
      <c r="Q15" s="14" t="s">
        <v>301</v>
      </c>
      <c r="R15" t="s">
        <v>303</v>
      </c>
      <c r="S15" t="s">
        <v>307</v>
      </c>
    </row>
    <row r="16" spans="1:19" x14ac:dyDescent="0.3">
      <c r="D16" s="15" t="s">
        <v>46</v>
      </c>
      <c r="E16" s="16">
        <v>303759</v>
      </c>
      <c r="F16" s="16">
        <v>679423.27</v>
      </c>
      <c r="K16" s="15" t="s">
        <v>43</v>
      </c>
      <c r="L16" s="16">
        <v>559462</v>
      </c>
      <c r="N16" s="15" t="s">
        <v>32</v>
      </c>
      <c r="O16" s="16">
        <v>2385917.33</v>
      </c>
      <c r="Q16" s="15" t="s">
        <v>79</v>
      </c>
      <c r="R16" s="16">
        <v>379750</v>
      </c>
      <c r="S16" s="17">
        <v>1323.26</v>
      </c>
    </row>
    <row r="17" spans="4:19" x14ac:dyDescent="0.3">
      <c r="D17" s="15" t="s">
        <v>302</v>
      </c>
      <c r="E17" s="16">
        <v>6053117</v>
      </c>
      <c r="F17" s="16">
        <v>10347958.25</v>
      </c>
      <c r="K17" s="15" t="s">
        <v>37</v>
      </c>
      <c r="L17" s="16">
        <v>591454</v>
      </c>
      <c r="N17" s="15" t="s">
        <v>40</v>
      </c>
      <c r="O17" s="16">
        <v>925129.27999999991</v>
      </c>
      <c r="Q17" s="15" t="s">
        <v>44</v>
      </c>
      <c r="R17" s="16">
        <v>633125</v>
      </c>
      <c r="S17" s="17">
        <v>1539.9900000000002</v>
      </c>
    </row>
    <row r="18" spans="4:19" x14ac:dyDescent="0.3">
      <c r="K18" s="15" t="s">
        <v>75</v>
      </c>
      <c r="L18" s="16">
        <v>587906</v>
      </c>
      <c r="N18" s="15" t="s">
        <v>24</v>
      </c>
      <c r="O18" s="16">
        <v>3337102.0100000002</v>
      </c>
      <c r="Q18" s="15" t="s">
        <v>66</v>
      </c>
      <c r="R18" s="16">
        <v>348475</v>
      </c>
      <c r="S18" s="17">
        <v>1163.46</v>
      </c>
    </row>
    <row r="19" spans="4:19" x14ac:dyDescent="0.3">
      <c r="K19" s="15" t="s">
        <v>41</v>
      </c>
      <c r="L19" s="16">
        <v>650424</v>
      </c>
      <c r="N19" s="15" t="s">
        <v>302</v>
      </c>
      <c r="O19" s="16">
        <v>10347958.250000002</v>
      </c>
      <c r="Q19" s="15" t="s">
        <v>69</v>
      </c>
      <c r="R19" s="16">
        <v>151377</v>
      </c>
      <c r="S19" s="17">
        <v>722.13</v>
      </c>
    </row>
    <row r="20" spans="4:19" x14ac:dyDescent="0.3">
      <c r="K20" s="15" t="s">
        <v>302</v>
      </c>
      <c r="L20" s="16">
        <v>6053117</v>
      </c>
      <c r="Q20" s="15" t="s">
        <v>34</v>
      </c>
      <c r="R20" s="16">
        <v>554012</v>
      </c>
      <c r="S20" s="17">
        <v>1464.41</v>
      </c>
    </row>
    <row r="21" spans="4:19" x14ac:dyDescent="0.3">
      <c r="Q21" s="15" t="s">
        <v>63</v>
      </c>
      <c r="R21" s="16">
        <v>762982</v>
      </c>
      <c r="S21" s="17">
        <v>1556.3200000000002</v>
      </c>
    </row>
    <row r="22" spans="4:19" x14ac:dyDescent="0.3">
      <c r="Q22" s="15" t="s">
        <v>48</v>
      </c>
      <c r="R22" s="16">
        <v>560908</v>
      </c>
      <c r="S22" s="17">
        <v>1638.0400000000002</v>
      </c>
    </row>
    <row r="23" spans="4:19" x14ac:dyDescent="0.3">
      <c r="Q23" s="15" t="s">
        <v>53</v>
      </c>
      <c r="R23" s="16">
        <v>651533</v>
      </c>
      <c r="S23" s="17">
        <v>1591.4499999999998</v>
      </c>
    </row>
    <row r="24" spans="4:19" x14ac:dyDescent="0.3">
      <c r="Q24" s="15" t="s">
        <v>59</v>
      </c>
      <c r="R24" s="16">
        <v>611711</v>
      </c>
      <c r="S24" s="17">
        <v>1620.6399999999996</v>
      </c>
    </row>
    <row r="25" spans="4:19" x14ac:dyDescent="0.3">
      <c r="Q25" s="15" t="s">
        <v>27</v>
      </c>
      <c r="R25" s="16">
        <v>502296</v>
      </c>
      <c r="S25" s="17">
        <v>1499.83</v>
      </c>
    </row>
    <row r="26" spans="4:19" x14ac:dyDescent="0.3">
      <c r="Q26" s="15" t="s">
        <v>22</v>
      </c>
      <c r="R26" s="16">
        <v>593189</v>
      </c>
      <c r="S26" s="17">
        <v>1825.82</v>
      </c>
    </row>
    <row r="27" spans="4:19" x14ac:dyDescent="0.3">
      <c r="Q27" s="15" t="s">
        <v>46</v>
      </c>
      <c r="R27" s="16">
        <v>303759</v>
      </c>
      <c r="S27" s="17">
        <v>1013.0099999999998</v>
      </c>
    </row>
    <row r="28" spans="4:19" x14ac:dyDescent="0.3">
      <c r="Q28" s="15" t="s">
        <v>302</v>
      </c>
      <c r="R28" s="16">
        <v>6053117</v>
      </c>
      <c r="S28" s="17">
        <v>16958.36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D75CB-C444-447D-ADDA-927B9AE252FE}">
  <dimension ref="C11:D16"/>
  <sheetViews>
    <sheetView workbookViewId="0">
      <selection activeCell="C11" sqref="C11:D16"/>
    </sheetView>
  </sheetViews>
  <sheetFormatPr defaultRowHeight="15.35" x14ac:dyDescent="0.3"/>
  <sheetData>
    <row r="11" spans="3:4" x14ac:dyDescent="0.3">
      <c r="C11" s="14" t="s">
        <v>301</v>
      </c>
      <c r="D11" t="s">
        <v>306</v>
      </c>
    </row>
    <row r="12" spans="3:4" x14ac:dyDescent="0.3">
      <c r="C12" s="15" t="s">
        <v>19</v>
      </c>
      <c r="D12">
        <v>1750</v>
      </c>
    </row>
    <row r="13" spans="3:4" x14ac:dyDescent="0.3">
      <c r="C13" s="15" t="s">
        <v>32</v>
      </c>
      <c r="D13">
        <v>1529</v>
      </c>
    </row>
    <row r="14" spans="3:4" x14ac:dyDescent="0.3">
      <c r="C14" s="15" t="s">
        <v>40</v>
      </c>
      <c r="D14">
        <v>1599</v>
      </c>
    </row>
    <row r="15" spans="3:4" x14ac:dyDescent="0.3">
      <c r="C15" s="15" t="s">
        <v>24</v>
      </c>
      <c r="D15">
        <v>1941</v>
      </c>
    </row>
    <row r="16" spans="3:4" x14ac:dyDescent="0.3">
      <c r="C16" s="15" t="s">
        <v>302</v>
      </c>
      <c r="D16">
        <v>6819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8E63F-335A-43F0-92DD-78D773851681}">
  <dimension ref="A1"/>
  <sheetViews>
    <sheetView tabSelected="1" zoomScale="96" zoomScaleNormal="69" workbookViewId="0">
      <selection activeCell="D37" sqref="D37"/>
    </sheetView>
  </sheetViews>
  <sheetFormatPr defaultRowHeight="15.3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DD82-52F2-4F18-B74F-439CF1AD95B2}">
  <dimension ref="A3:B16"/>
  <sheetViews>
    <sheetView workbookViewId="0">
      <selection activeCell="A3" sqref="A3"/>
    </sheetView>
  </sheetViews>
  <sheetFormatPr defaultRowHeight="15.35" x14ac:dyDescent="0.3"/>
  <cols>
    <col min="1" max="1" width="12" bestFit="1" customWidth="1"/>
    <col min="2" max="2" width="19" bestFit="1" customWidth="1"/>
  </cols>
  <sheetData>
    <row r="3" spans="1:2" x14ac:dyDescent="0.3">
      <c r="A3" s="14" t="s">
        <v>301</v>
      </c>
      <c r="B3" t="s">
        <v>303</v>
      </c>
    </row>
    <row r="4" spans="1:2" x14ac:dyDescent="0.3">
      <c r="A4" s="15" t="s">
        <v>79</v>
      </c>
      <c r="B4" s="16">
        <v>379750</v>
      </c>
    </row>
    <row r="5" spans="1:2" x14ac:dyDescent="0.3">
      <c r="A5" s="15" t="s">
        <v>44</v>
      </c>
      <c r="B5" s="16">
        <v>633125</v>
      </c>
    </row>
    <row r="6" spans="1:2" x14ac:dyDescent="0.3">
      <c r="A6" s="15" t="s">
        <v>66</v>
      </c>
      <c r="B6" s="16">
        <v>348475</v>
      </c>
    </row>
    <row r="7" spans="1:2" x14ac:dyDescent="0.3">
      <c r="A7" s="15" t="s">
        <v>69</v>
      </c>
      <c r="B7" s="16">
        <v>151377</v>
      </c>
    </row>
    <row r="8" spans="1:2" x14ac:dyDescent="0.3">
      <c r="A8" s="15" t="s">
        <v>34</v>
      </c>
      <c r="B8" s="16">
        <v>554012</v>
      </c>
    </row>
    <row r="9" spans="1:2" x14ac:dyDescent="0.3">
      <c r="A9" s="15" t="s">
        <v>63</v>
      </c>
      <c r="B9" s="16">
        <v>762982</v>
      </c>
    </row>
    <row r="10" spans="1:2" x14ac:dyDescent="0.3">
      <c r="A10" s="15" t="s">
        <v>48</v>
      </c>
      <c r="B10" s="16">
        <v>560908</v>
      </c>
    </row>
    <row r="11" spans="1:2" x14ac:dyDescent="0.3">
      <c r="A11" s="15" t="s">
        <v>53</v>
      </c>
      <c r="B11" s="16">
        <v>651533</v>
      </c>
    </row>
    <row r="12" spans="1:2" x14ac:dyDescent="0.3">
      <c r="A12" s="15" t="s">
        <v>59</v>
      </c>
      <c r="B12" s="16">
        <v>611711</v>
      </c>
    </row>
    <row r="13" spans="1:2" x14ac:dyDescent="0.3">
      <c r="A13" s="15" t="s">
        <v>27</v>
      </c>
      <c r="B13" s="16">
        <v>502296</v>
      </c>
    </row>
    <row r="14" spans="1:2" x14ac:dyDescent="0.3">
      <c r="A14" s="15" t="s">
        <v>22</v>
      </c>
      <c r="B14" s="16">
        <v>593189</v>
      </c>
    </row>
    <row r="15" spans="1:2" x14ac:dyDescent="0.3">
      <c r="A15" s="15" t="s">
        <v>46</v>
      </c>
      <c r="B15" s="16">
        <v>303759</v>
      </c>
    </row>
    <row r="16" spans="1:2" x14ac:dyDescent="0.3">
      <c r="A16" s="15" t="s">
        <v>302</v>
      </c>
      <c r="B16" s="16">
        <v>6053117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4806C-BAA9-48D2-ACF2-D53C1FAE975C}">
  <dimension ref="A1:Q251"/>
  <sheetViews>
    <sheetView workbookViewId="0">
      <selection activeCell="D240" sqref="A1:Q251"/>
    </sheetView>
  </sheetViews>
  <sheetFormatPr defaultRowHeight="15.35" x14ac:dyDescent="0.3"/>
  <cols>
    <col min="2" max="2" width="12.44140625" customWidth="1"/>
    <col min="3" max="3" width="11.6640625" customWidth="1"/>
    <col min="4" max="4" width="14.77734375" customWidth="1"/>
    <col min="5" max="5" width="13.21875" customWidth="1"/>
    <col min="6" max="6" width="11.109375" customWidth="1"/>
    <col min="17" max="17" width="34.1093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t="s">
        <v>17</v>
      </c>
      <c r="B2" s="3">
        <v>45985</v>
      </c>
      <c r="C2" s="2" t="s">
        <v>18</v>
      </c>
      <c r="D2" s="2" t="s">
        <v>19</v>
      </c>
      <c r="E2" s="4" t="s">
        <v>20</v>
      </c>
      <c r="F2" s="2">
        <v>16</v>
      </c>
      <c r="G2" s="5">
        <v>1214</v>
      </c>
      <c r="H2" s="5">
        <v>19424</v>
      </c>
      <c r="I2" s="5">
        <v>3496.32</v>
      </c>
      <c r="J2" s="5">
        <v>429</v>
      </c>
      <c r="K2" s="6">
        <v>5</v>
      </c>
      <c r="L2" s="5">
        <v>14527.48</v>
      </c>
      <c r="M2" s="2" t="s">
        <v>21</v>
      </c>
      <c r="N2" s="2">
        <v>3.2</v>
      </c>
      <c r="O2" s="2" t="s">
        <v>22</v>
      </c>
      <c r="P2" s="7">
        <v>58271.61</v>
      </c>
      <c r="Q2" s="8">
        <v>74.790000000000006</v>
      </c>
    </row>
    <row r="3" spans="1:17" x14ac:dyDescent="0.3">
      <c r="A3" s="9" t="s">
        <v>23</v>
      </c>
      <c r="B3" s="10">
        <v>45937</v>
      </c>
      <c r="C3" s="9" t="s">
        <v>18</v>
      </c>
      <c r="D3" s="9" t="s">
        <v>24</v>
      </c>
      <c r="E3" s="11" t="s">
        <v>25</v>
      </c>
      <c r="F3" s="9">
        <v>2</v>
      </c>
      <c r="G3" s="7">
        <v>897</v>
      </c>
      <c r="H3" s="7">
        <v>1794</v>
      </c>
      <c r="I3" s="7">
        <v>322.92</v>
      </c>
      <c r="J3" s="7">
        <v>63</v>
      </c>
      <c r="K3" s="12">
        <v>5</v>
      </c>
      <c r="L3" s="7">
        <v>1318.38</v>
      </c>
      <c r="M3" s="9" t="s">
        <v>26</v>
      </c>
      <c r="N3" s="9">
        <v>4</v>
      </c>
      <c r="O3" s="9" t="s">
        <v>27</v>
      </c>
      <c r="P3" s="7">
        <v>45501.13</v>
      </c>
      <c r="Q3" s="13">
        <v>73.489999999999995</v>
      </c>
    </row>
    <row r="4" spans="1:17" x14ac:dyDescent="0.3">
      <c r="A4" s="2" t="s">
        <v>28</v>
      </c>
      <c r="B4" s="3">
        <v>45945</v>
      </c>
      <c r="C4" s="2" t="s">
        <v>29</v>
      </c>
      <c r="D4" s="2" t="s">
        <v>24</v>
      </c>
      <c r="E4" s="4" t="s">
        <v>30</v>
      </c>
      <c r="F4" s="2">
        <v>29</v>
      </c>
      <c r="G4" s="5">
        <v>992</v>
      </c>
      <c r="H4" s="5">
        <v>28768</v>
      </c>
      <c r="I4" s="5">
        <v>5178.24</v>
      </c>
      <c r="J4" s="5">
        <v>224</v>
      </c>
      <c r="K4" s="6">
        <v>0</v>
      </c>
      <c r="L4" s="5">
        <v>23365.759999999998</v>
      </c>
      <c r="M4" s="2" t="s">
        <v>26</v>
      </c>
      <c r="N4" s="2">
        <v>4.4000000000000004</v>
      </c>
      <c r="O4" s="2" t="s">
        <v>27</v>
      </c>
      <c r="P4" s="7">
        <v>45182.03</v>
      </c>
      <c r="Q4" s="8">
        <v>81.22</v>
      </c>
    </row>
    <row r="5" spans="1:17" x14ac:dyDescent="0.3">
      <c r="A5" s="9" t="s">
        <v>31</v>
      </c>
      <c r="B5" s="10">
        <v>45800</v>
      </c>
      <c r="C5" s="9" t="s">
        <v>29</v>
      </c>
      <c r="D5" s="9" t="s">
        <v>32</v>
      </c>
      <c r="E5" s="11" t="s">
        <v>33</v>
      </c>
      <c r="F5" s="9">
        <v>7</v>
      </c>
      <c r="G5" s="7">
        <v>747</v>
      </c>
      <c r="H5" s="7">
        <v>5229</v>
      </c>
      <c r="I5" s="7">
        <v>941.21999999999991</v>
      </c>
      <c r="J5" s="7">
        <v>226</v>
      </c>
      <c r="K5" s="12">
        <v>15</v>
      </c>
      <c r="L5" s="7">
        <v>3277.43</v>
      </c>
      <c r="M5" s="9" t="s">
        <v>26</v>
      </c>
      <c r="N5" s="9">
        <v>3.7</v>
      </c>
      <c r="O5" s="9" t="s">
        <v>34</v>
      </c>
      <c r="P5" s="7">
        <v>36981.18</v>
      </c>
      <c r="Q5" s="13">
        <v>62.68</v>
      </c>
    </row>
    <row r="6" spans="1:17" x14ac:dyDescent="0.3">
      <c r="A6" s="2" t="s">
        <v>35</v>
      </c>
      <c r="B6" s="3">
        <v>45967</v>
      </c>
      <c r="C6" s="2" t="s">
        <v>36</v>
      </c>
      <c r="D6" s="2" t="s">
        <v>19</v>
      </c>
      <c r="E6" s="4" t="s">
        <v>37</v>
      </c>
      <c r="F6" s="2">
        <v>35</v>
      </c>
      <c r="G6" s="5">
        <v>1163</v>
      </c>
      <c r="H6" s="5">
        <v>40705</v>
      </c>
      <c r="I6" s="5">
        <v>7326.9</v>
      </c>
      <c r="J6" s="5">
        <v>474</v>
      </c>
      <c r="K6" s="6">
        <v>15</v>
      </c>
      <c r="L6" s="5">
        <v>26798.35</v>
      </c>
      <c r="M6" s="2" t="s">
        <v>26</v>
      </c>
      <c r="N6" s="2">
        <v>4.0999999999999996</v>
      </c>
      <c r="O6" s="2" t="s">
        <v>22</v>
      </c>
      <c r="P6" s="7">
        <v>64677.79</v>
      </c>
      <c r="Q6" s="8">
        <v>65.84</v>
      </c>
    </row>
    <row r="7" spans="1:17" x14ac:dyDescent="0.3">
      <c r="A7" s="9" t="s">
        <v>38</v>
      </c>
      <c r="B7" s="10">
        <v>45979</v>
      </c>
      <c r="C7" s="9" t="s">
        <v>39</v>
      </c>
      <c r="D7" s="9" t="s">
        <v>40</v>
      </c>
      <c r="E7" s="11" t="s">
        <v>41</v>
      </c>
      <c r="F7" s="9">
        <v>13</v>
      </c>
      <c r="G7" s="7">
        <v>235</v>
      </c>
      <c r="H7" s="7">
        <v>3055</v>
      </c>
      <c r="I7" s="7">
        <v>549.9</v>
      </c>
      <c r="J7" s="7">
        <v>198</v>
      </c>
      <c r="K7" s="12">
        <v>0</v>
      </c>
      <c r="L7" s="7">
        <v>2307.1</v>
      </c>
      <c r="M7" s="9" t="s">
        <v>21</v>
      </c>
      <c r="N7" s="9">
        <v>3.5</v>
      </c>
      <c r="O7" s="9" t="s">
        <v>22</v>
      </c>
      <c r="P7" s="7">
        <v>13880.18</v>
      </c>
      <c r="Q7" s="13">
        <v>75.52</v>
      </c>
    </row>
    <row r="8" spans="1:17" x14ac:dyDescent="0.3">
      <c r="A8" s="2" t="s">
        <v>42</v>
      </c>
      <c r="B8" s="3">
        <v>45698</v>
      </c>
      <c r="C8" s="2" t="s">
        <v>29</v>
      </c>
      <c r="D8" s="2" t="s">
        <v>19</v>
      </c>
      <c r="E8" s="4" t="s">
        <v>43</v>
      </c>
      <c r="F8" s="2">
        <v>18</v>
      </c>
      <c r="G8" s="5">
        <v>1332</v>
      </c>
      <c r="H8" s="5">
        <v>23976</v>
      </c>
      <c r="I8" s="5">
        <v>4315.68</v>
      </c>
      <c r="J8" s="5">
        <v>157</v>
      </c>
      <c r="K8" s="6">
        <v>10</v>
      </c>
      <c r="L8" s="5">
        <v>17105.72</v>
      </c>
      <c r="M8" s="2" t="s">
        <v>26</v>
      </c>
      <c r="N8" s="2">
        <v>3.7</v>
      </c>
      <c r="O8" s="2" t="s">
        <v>44</v>
      </c>
      <c r="P8" s="7">
        <v>57895.22</v>
      </c>
      <c r="Q8" s="8">
        <v>71.349999999999994</v>
      </c>
    </row>
    <row r="9" spans="1:17" x14ac:dyDescent="0.3">
      <c r="A9" s="9" t="s">
        <v>45</v>
      </c>
      <c r="B9" s="10">
        <v>46001</v>
      </c>
      <c r="C9" s="9" t="s">
        <v>36</v>
      </c>
      <c r="D9" s="9" t="s">
        <v>19</v>
      </c>
      <c r="E9" s="11" t="s">
        <v>41</v>
      </c>
      <c r="F9" s="9">
        <v>41</v>
      </c>
      <c r="G9" s="7">
        <v>1187</v>
      </c>
      <c r="H9" s="7">
        <v>48667</v>
      </c>
      <c r="I9" s="7">
        <v>8760.06</v>
      </c>
      <c r="J9" s="7">
        <v>286</v>
      </c>
      <c r="K9" s="12">
        <v>20</v>
      </c>
      <c r="L9" s="7">
        <v>29887.54</v>
      </c>
      <c r="M9" s="9" t="s">
        <v>21</v>
      </c>
      <c r="N9" s="9">
        <v>3.5</v>
      </c>
      <c r="O9" s="9" t="s">
        <v>46</v>
      </c>
      <c r="P9" s="7">
        <v>63317.56</v>
      </c>
      <c r="Q9" s="13">
        <v>61.41</v>
      </c>
    </row>
    <row r="10" spans="1:17" x14ac:dyDescent="0.3">
      <c r="A10" s="2" t="s">
        <v>47</v>
      </c>
      <c r="B10" s="3">
        <v>45852</v>
      </c>
      <c r="C10" s="2" t="s">
        <v>36</v>
      </c>
      <c r="D10" s="2" t="s">
        <v>32</v>
      </c>
      <c r="E10" s="4" t="s">
        <v>33</v>
      </c>
      <c r="F10" s="2">
        <v>50</v>
      </c>
      <c r="G10" s="5">
        <v>728</v>
      </c>
      <c r="H10" s="5">
        <v>36400</v>
      </c>
      <c r="I10" s="5">
        <v>6552</v>
      </c>
      <c r="J10" s="5">
        <v>255</v>
      </c>
      <c r="K10" s="6">
        <v>5</v>
      </c>
      <c r="L10" s="5">
        <v>27773</v>
      </c>
      <c r="M10" s="2" t="s">
        <v>26</v>
      </c>
      <c r="N10" s="2">
        <v>4.5999999999999996</v>
      </c>
      <c r="O10" s="2" t="s">
        <v>48</v>
      </c>
      <c r="P10" s="7">
        <v>40463.550000000003</v>
      </c>
      <c r="Q10" s="8">
        <v>76.3</v>
      </c>
    </row>
    <row r="11" spans="1:17" x14ac:dyDescent="0.3">
      <c r="A11" s="9" t="s">
        <v>49</v>
      </c>
      <c r="B11" s="10">
        <v>45795</v>
      </c>
      <c r="C11" s="9" t="s">
        <v>18</v>
      </c>
      <c r="D11" s="9" t="s">
        <v>32</v>
      </c>
      <c r="E11" s="11" t="s">
        <v>41</v>
      </c>
      <c r="F11" s="9">
        <v>46</v>
      </c>
      <c r="G11" s="7">
        <v>861</v>
      </c>
      <c r="H11" s="7">
        <v>39606</v>
      </c>
      <c r="I11" s="7">
        <v>7129.08</v>
      </c>
      <c r="J11" s="7">
        <v>379</v>
      </c>
      <c r="K11" s="12">
        <v>5</v>
      </c>
      <c r="L11" s="7">
        <v>30117.62</v>
      </c>
      <c r="M11" s="9" t="s">
        <v>21</v>
      </c>
      <c r="N11" s="9">
        <v>4</v>
      </c>
      <c r="O11" s="9" t="s">
        <v>34</v>
      </c>
      <c r="P11" s="7">
        <v>45260.52</v>
      </c>
      <c r="Q11" s="13">
        <v>76.040000000000006</v>
      </c>
    </row>
    <row r="12" spans="1:17" x14ac:dyDescent="0.3">
      <c r="A12" s="2" t="s">
        <v>50</v>
      </c>
      <c r="B12" s="3">
        <v>45892</v>
      </c>
      <c r="C12" s="2" t="s">
        <v>29</v>
      </c>
      <c r="D12" s="2" t="s">
        <v>40</v>
      </c>
      <c r="E12" s="4" t="s">
        <v>51</v>
      </c>
      <c r="F12" s="2">
        <v>16</v>
      </c>
      <c r="G12" s="5">
        <v>487</v>
      </c>
      <c r="H12" s="5">
        <v>7792</v>
      </c>
      <c r="I12" s="5">
        <v>1402.56</v>
      </c>
      <c r="J12" s="5">
        <v>269</v>
      </c>
      <c r="K12" s="6">
        <v>20</v>
      </c>
      <c r="L12" s="5">
        <v>4562.0400000000009</v>
      </c>
      <c r="M12" s="2" t="s">
        <v>52</v>
      </c>
      <c r="N12" s="2">
        <v>4.5</v>
      </c>
      <c r="O12" s="2" t="s">
        <v>53</v>
      </c>
      <c r="P12" s="7">
        <v>14951.74</v>
      </c>
      <c r="Q12" s="8">
        <v>58.55</v>
      </c>
    </row>
    <row r="13" spans="1:17" x14ac:dyDescent="0.3">
      <c r="A13" s="9" t="s">
        <v>54</v>
      </c>
      <c r="B13" s="10">
        <v>45956</v>
      </c>
      <c r="C13" s="9" t="s">
        <v>55</v>
      </c>
      <c r="D13" s="9" t="s">
        <v>40</v>
      </c>
      <c r="E13" s="11" t="s">
        <v>30</v>
      </c>
      <c r="F13" s="9">
        <v>9</v>
      </c>
      <c r="G13" s="7">
        <v>460</v>
      </c>
      <c r="H13" s="7">
        <v>4140</v>
      </c>
      <c r="I13" s="7">
        <v>745.19999999999993</v>
      </c>
      <c r="J13" s="7">
        <v>490</v>
      </c>
      <c r="K13" s="12">
        <v>15</v>
      </c>
      <c r="L13" s="7">
        <v>2283.8000000000002</v>
      </c>
      <c r="M13" s="9" t="s">
        <v>26</v>
      </c>
      <c r="N13" s="9">
        <v>4.5</v>
      </c>
      <c r="O13" s="9" t="s">
        <v>27</v>
      </c>
      <c r="P13" s="7">
        <v>14647.38</v>
      </c>
      <c r="Q13" s="13">
        <v>55.16</v>
      </c>
    </row>
    <row r="14" spans="1:17" x14ac:dyDescent="0.3">
      <c r="A14" s="2" t="s">
        <v>56</v>
      </c>
      <c r="B14" s="3">
        <v>45714</v>
      </c>
      <c r="C14" s="2" t="s">
        <v>29</v>
      </c>
      <c r="D14" s="2" t="s">
        <v>32</v>
      </c>
      <c r="E14" s="4" t="s">
        <v>43</v>
      </c>
      <c r="F14" s="2">
        <v>39</v>
      </c>
      <c r="G14" s="5">
        <v>732</v>
      </c>
      <c r="H14" s="5">
        <v>28548</v>
      </c>
      <c r="I14" s="5">
        <v>5138.6399999999994</v>
      </c>
      <c r="J14" s="5">
        <v>289</v>
      </c>
      <c r="K14" s="6">
        <v>15</v>
      </c>
      <c r="L14" s="5">
        <v>18838.16</v>
      </c>
      <c r="M14" s="2" t="s">
        <v>52</v>
      </c>
      <c r="N14" s="2">
        <v>4.2</v>
      </c>
      <c r="O14" s="2" t="s">
        <v>44</v>
      </c>
      <c r="P14" s="7">
        <v>41358.589999999997</v>
      </c>
      <c r="Q14" s="8">
        <v>65.989999999999995</v>
      </c>
    </row>
    <row r="15" spans="1:17" x14ac:dyDescent="0.3">
      <c r="A15" s="9" t="s">
        <v>57</v>
      </c>
      <c r="B15" s="10">
        <v>45928</v>
      </c>
      <c r="C15" s="9" t="s">
        <v>36</v>
      </c>
      <c r="D15" s="9" t="s">
        <v>19</v>
      </c>
      <c r="E15" s="11" t="s">
        <v>58</v>
      </c>
      <c r="F15" s="9">
        <v>44</v>
      </c>
      <c r="G15" s="7">
        <v>1374</v>
      </c>
      <c r="H15" s="7">
        <v>60456</v>
      </c>
      <c r="I15" s="7">
        <v>10882.08</v>
      </c>
      <c r="J15" s="7">
        <v>200</v>
      </c>
      <c r="K15" s="12">
        <v>10</v>
      </c>
      <c r="L15" s="7">
        <v>43328.32</v>
      </c>
      <c r="M15" s="9" t="s">
        <v>21</v>
      </c>
      <c r="N15" s="9">
        <v>3.7</v>
      </c>
      <c r="O15" s="9" t="s">
        <v>59</v>
      </c>
      <c r="P15" s="7">
        <v>54900.46</v>
      </c>
      <c r="Q15" s="13">
        <v>71.67</v>
      </c>
    </row>
    <row r="16" spans="1:17" x14ac:dyDescent="0.3">
      <c r="A16" s="2" t="s">
        <v>60</v>
      </c>
      <c r="B16" s="3">
        <v>45880</v>
      </c>
      <c r="C16" s="2" t="s">
        <v>29</v>
      </c>
      <c r="D16" s="2" t="s">
        <v>24</v>
      </c>
      <c r="E16" s="4" t="s">
        <v>25</v>
      </c>
      <c r="F16" s="2">
        <v>47</v>
      </c>
      <c r="G16" s="5">
        <v>984</v>
      </c>
      <c r="H16" s="5">
        <v>46248</v>
      </c>
      <c r="I16" s="5">
        <v>8324.64</v>
      </c>
      <c r="J16" s="5">
        <v>104</v>
      </c>
      <c r="K16" s="6">
        <v>20</v>
      </c>
      <c r="L16" s="5">
        <v>28569.759999999998</v>
      </c>
      <c r="M16" s="2" t="s">
        <v>26</v>
      </c>
      <c r="N16" s="2">
        <v>4</v>
      </c>
      <c r="O16" s="2" t="s">
        <v>53</v>
      </c>
      <c r="P16" s="7">
        <v>56029.99</v>
      </c>
      <c r="Q16" s="8">
        <v>61.78</v>
      </c>
    </row>
    <row r="17" spans="1:17" x14ac:dyDescent="0.3">
      <c r="A17" s="9" t="s">
        <v>61</v>
      </c>
      <c r="B17" s="10">
        <v>45978</v>
      </c>
      <c r="C17" s="9" t="s">
        <v>36</v>
      </c>
      <c r="D17" s="9" t="s">
        <v>32</v>
      </c>
      <c r="E17" s="11" t="s">
        <v>51</v>
      </c>
      <c r="F17" s="9">
        <v>24</v>
      </c>
      <c r="G17" s="7">
        <v>782</v>
      </c>
      <c r="H17" s="7">
        <v>18768</v>
      </c>
      <c r="I17" s="7">
        <v>3378.24</v>
      </c>
      <c r="J17" s="7">
        <v>356</v>
      </c>
      <c r="K17" s="12">
        <v>20</v>
      </c>
      <c r="L17" s="7">
        <v>11280.16</v>
      </c>
      <c r="M17" s="9" t="s">
        <v>21</v>
      </c>
      <c r="N17" s="9">
        <v>4.8</v>
      </c>
      <c r="O17" s="9" t="s">
        <v>22</v>
      </c>
      <c r="P17" s="7">
        <v>38487.760000000002</v>
      </c>
      <c r="Q17" s="13">
        <v>60.1</v>
      </c>
    </row>
    <row r="18" spans="1:17" x14ac:dyDescent="0.3">
      <c r="A18" s="2" t="s">
        <v>62</v>
      </c>
      <c r="B18" s="3">
        <v>45823</v>
      </c>
      <c r="C18" s="2" t="s">
        <v>55</v>
      </c>
      <c r="D18" s="2" t="s">
        <v>19</v>
      </c>
      <c r="E18" s="4" t="s">
        <v>58</v>
      </c>
      <c r="F18" s="2">
        <v>24</v>
      </c>
      <c r="G18" s="5">
        <v>1257</v>
      </c>
      <c r="H18" s="5">
        <v>30168</v>
      </c>
      <c r="I18" s="5">
        <v>5430.24</v>
      </c>
      <c r="J18" s="5">
        <v>340</v>
      </c>
      <c r="K18" s="6">
        <v>5</v>
      </c>
      <c r="L18" s="5">
        <v>22889.360000000001</v>
      </c>
      <c r="M18" s="2" t="s">
        <v>26</v>
      </c>
      <c r="N18" s="2">
        <v>3.5</v>
      </c>
      <c r="O18" s="2" t="s">
        <v>63</v>
      </c>
      <c r="P18" s="7">
        <v>57986.01</v>
      </c>
      <c r="Q18" s="8">
        <v>75.87</v>
      </c>
    </row>
    <row r="19" spans="1:17" x14ac:dyDescent="0.3">
      <c r="A19" s="9" t="s">
        <v>64</v>
      </c>
      <c r="B19" s="10">
        <v>45698</v>
      </c>
      <c r="C19" s="9" t="s">
        <v>18</v>
      </c>
      <c r="D19" s="9" t="s">
        <v>24</v>
      </c>
      <c r="E19" s="11" t="s">
        <v>58</v>
      </c>
      <c r="F19" s="9">
        <v>49</v>
      </c>
      <c r="G19" s="7">
        <v>1122</v>
      </c>
      <c r="H19" s="7">
        <v>54978</v>
      </c>
      <c r="I19" s="7">
        <v>9896.0399999999991</v>
      </c>
      <c r="J19" s="7">
        <v>331</v>
      </c>
      <c r="K19" s="12">
        <v>5</v>
      </c>
      <c r="L19" s="7">
        <v>42002.06</v>
      </c>
      <c r="M19" s="9" t="s">
        <v>26</v>
      </c>
      <c r="N19" s="9">
        <v>4.3</v>
      </c>
      <c r="O19" s="9" t="s">
        <v>44</v>
      </c>
      <c r="P19" s="7">
        <v>52735.53</v>
      </c>
      <c r="Q19" s="13">
        <v>76.400000000000006</v>
      </c>
    </row>
    <row r="20" spans="1:17" x14ac:dyDescent="0.3">
      <c r="A20" s="2" t="s">
        <v>65</v>
      </c>
      <c r="B20" s="3">
        <v>45742</v>
      </c>
      <c r="C20" s="2" t="s">
        <v>36</v>
      </c>
      <c r="D20" s="2" t="s">
        <v>24</v>
      </c>
      <c r="E20" s="4" t="s">
        <v>30</v>
      </c>
      <c r="F20" s="2">
        <v>35</v>
      </c>
      <c r="G20" s="5">
        <v>952</v>
      </c>
      <c r="H20" s="5">
        <v>33320</v>
      </c>
      <c r="I20" s="5">
        <v>5997.5999999999995</v>
      </c>
      <c r="J20" s="5">
        <v>382</v>
      </c>
      <c r="K20" s="6">
        <v>10</v>
      </c>
      <c r="L20" s="5">
        <v>23608.400000000001</v>
      </c>
      <c r="M20" s="2" t="s">
        <v>52</v>
      </c>
      <c r="N20" s="2">
        <v>5</v>
      </c>
      <c r="O20" s="2" t="s">
        <v>66</v>
      </c>
      <c r="P20" s="7">
        <v>44784.15</v>
      </c>
      <c r="Q20" s="8">
        <v>70.849999999999994</v>
      </c>
    </row>
    <row r="21" spans="1:17" x14ac:dyDescent="0.3">
      <c r="A21" s="9" t="s">
        <v>67</v>
      </c>
      <c r="B21" s="10">
        <v>45849</v>
      </c>
      <c r="C21" s="9" t="s">
        <v>55</v>
      </c>
      <c r="D21" s="9" t="s">
        <v>24</v>
      </c>
      <c r="E21" s="11" t="s">
        <v>58</v>
      </c>
      <c r="F21" s="9">
        <v>16</v>
      </c>
      <c r="G21" s="7">
        <v>965</v>
      </c>
      <c r="H21" s="7">
        <v>15440</v>
      </c>
      <c r="I21" s="7">
        <v>2779.2</v>
      </c>
      <c r="J21" s="7">
        <v>333</v>
      </c>
      <c r="K21" s="12">
        <v>0</v>
      </c>
      <c r="L21" s="7">
        <v>12327.8</v>
      </c>
      <c r="M21" s="9" t="s">
        <v>52</v>
      </c>
      <c r="N21" s="9">
        <v>3</v>
      </c>
      <c r="O21" s="9" t="s">
        <v>48</v>
      </c>
      <c r="P21" s="7">
        <v>52408.52</v>
      </c>
      <c r="Q21" s="13">
        <v>79.84</v>
      </c>
    </row>
    <row r="22" spans="1:17" x14ac:dyDescent="0.3">
      <c r="A22" s="2" t="s">
        <v>68</v>
      </c>
      <c r="B22" s="3">
        <v>45775</v>
      </c>
      <c r="C22" s="2" t="s">
        <v>39</v>
      </c>
      <c r="D22" s="2" t="s">
        <v>32</v>
      </c>
      <c r="E22" s="4" t="s">
        <v>25</v>
      </c>
      <c r="F22" s="2">
        <v>5</v>
      </c>
      <c r="G22" s="5">
        <v>730</v>
      </c>
      <c r="H22" s="5">
        <v>3650</v>
      </c>
      <c r="I22" s="5">
        <v>657</v>
      </c>
      <c r="J22" s="5">
        <v>490</v>
      </c>
      <c r="K22" s="6">
        <v>5</v>
      </c>
      <c r="L22" s="5">
        <v>2320.5</v>
      </c>
      <c r="M22" s="2" t="s">
        <v>26</v>
      </c>
      <c r="N22" s="2">
        <v>4.8</v>
      </c>
      <c r="O22" s="2" t="s">
        <v>69</v>
      </c>
      <c r="P22" s="7">
        <v>44199.61</v>
      </c>
      <c r="Q22" s="8">
        <v>63.58</v>
      </c>
    </row>
    <row r="23" spans="1:17" x14ac:dyDescent="0.3">
      <c r="A23" s="9" t="s">
        <v>70</v>
      </c>
      <c r="B23" s="10">
        <v>45827</v>
      </c>
      <c r="C23" s="9" t="s">
        <v>18</v>
      </c>
      <c r="D23" s="9" t="s">
        <v>32</v>
      </c>
      <c r="E23" s="11" t="s">
        <v>20</v>
      </c>
      <c r="F23" s="9">
        <v>43</v>
      </c>
      <c r="G23" s="7">
        <v>948</v>
      </c>
      <c r="H23" s="7">
        <v>40764</v>
      </c>
      <c r="I23" s="7">
        <v>7337.52</v>
      </c>
      <c r="J23" s="7">
        <v>342</v>
      </c>
      <c r="K23" s="12">
        <v>5</v>
      </c>
      <c r="L23" s="7">
        <v>31046.28</v>
      </c>
      <c r="M23" s="9" t="s">
        <v>21</v>
      </c>
      <c r="N23" s="9">
        <v>3.3</v>
      </c>
      <c r="O23" s="9" t="s">
        <v>63</v>
      </c>
      <c r="P23" s="7">
        <v>38065.68</v>
      </c>
      <c r="Q23" s="13">
        <v>76.16</v>
      </c>
    </row>
    <row r="24" spans="1:17" x14ac:dyDescent="0.3">
      <c r="A24" s="2" t="s">
        <v>71</v>
      </c>
      <c r="B24" s="3">
        <v>45953</v>
      </c>
      <c r="C24" s="2" t="s">
        <v>55</v>
      </c>
      <c r="D24" s="2" t="s">
        <v>32</v>
      </c>
      <c r="E24" s="4" t="s">
        <v>37</v>
      </c>
      <c r="F24" s="2">
        <v>27</v>
      </c>
      <c r="G24" s="5">
        <v>797</v>
      </c>
      <c r="H24" s="5">
        <v>21519</v>
      </c>
      <c r="I24" s="5">
        <v>3873.42</v>
      </c>
      <c r="J24" s="5">
        <v>231</v>
      </c>
      <c r="K24" s="6">
        <v>0</v>
      </c>
      <c r="L24" s="5">
        <v>17414.580000000002</v>
      </c>
      <c r="M24" s="2" t="s">
        <v>26</v>
      </c>
      <c r="N24" s="2">
        <v>4.3</v>
      </c>
      <c r="O24" s="2" t="s">
        <v>27</v>
      </c>
      <c r="P24" s="7">
        <v>45362.31</v>
      </c>
      <c r="Q24" s="8">
        <v>80.930000000000007</v>
      </c>
    </row>
    <row r="25" spans="1:17" x14ac:dyDescent="0.3">
      <c r="A25" s="9" t="s">
        <v>72</v>
      </c>
      <c r="B25" s="10">
        <v>45874</v>
      </c>
      <c r="C25" s="9" t="s">
        <v>55</v>
      </c>
      <c r="D25" s="9" t="s">
        <v>24</v>
      </c>
      <c r="E25" s="11" t="s">
        <v>25</v>
      </c>
      <c r="F25" s="9">
        <v>44</v>
      </c>
      <c r="G25" s="7">
        <v>900</v>
      </c>
      <c r="H25" s="7">
        <v>39600</v>
      </c>
      <c r="I25" s="7">
        <v>7128</v>
      </c>
      <c r="J25" s="7">
        <v>459</v>
      </c>
      <c r="K25" s="12">
        <v>0</v>
      </c>
      <c r="L25" s="7">
        <v>32013</v>
      </c>
      <c r="M25" s="9" t="s">
        <v>52</v>
      </c>
      <c r="N25" s="9">
        <v>4.5</v>
      </c>
      <c r="O25" s="9" t="s">
        <v>53</v>
      </c>
      <c r="P25" s="7">
        <v>50430.74</v>
      </c>
      <c r="Q25" s="13">
        <v>80.84</v>
      </c>
    </row>
    <row r="26" spans="1:17" x14ac:dyDescent="0.3">
      <c r="A26" s="2" t="s">
        <v>73</v>
      </c>
      <c r="B26" s="3">
        <v>45713</v>
      </c>
      <c r="C26" s="2" t="s">
        <v>29</v>
      </c>
      <c r="D26" s="2" t="s">
        <v>32</v>
      </c>
      <c r="E26" s="4" t="s">
        <v>30</v>
      </c>
      <c r="F26" s="2">
        <v>35</v>
      </c>
      <c r="G26" s="5">
        <v>929</v>
      </c>
      <c r="H26" s="5">
        <v>32515</v>
      </c>
      <c r="I26" s="5">
        <v>5852.7</v>
      </c>
      <c r="J26" s="5">
        <v>286</v>
      </c>
      <c r="K26" s="6">
        <v>5</v>
      </c>
      <c r="L26" s="5">
        <v>24750.55</v>
      </c>
      <c r="M26" s="2" t="s">
        <v>52</v>
      </c>
      <c r="N26" s="2">
        <v>3.4</v>
      </c>
      <c r="O26" s="2" t="s">
        <v>44</v>
      </c>
      <c r="P26" s="7">
        <v>43293.68</v>
      </c>
      <c r="Q26" s="8">
        <v>76.12</v>
      </c>
    </row>
    <row r="27" spans="1:17" x14ac:dyDescent="0.3">
      <c r="A27" s="9" t="s">
        <v>74</v>
      </c>
      <c r="B27" s="10">
        <v>45785</v>
      </c>
      <c r="C27" s="9" t="s">
        <v>18</v>
      </c>
      <c r="D27" s="9" t="s">
        <v>24</v>
      </c>
      <c r="E27" s="11" t="s">
        <v>75</v>
      </c>
      <c r="F27" s="9">
        <v>7</v>
      </c>
      <c r="G27" s="7">
        <v>875</v>
      </c>
      <c r="H27" s="7">
        <v>6125</v>
      </c>
      <c r="I27" s="7">
        <v>1102.5</v>
      </c>
      <c r="J27" s="7">
        <v>435</v>
      </c>
      <c r="K27" s="12">
        <v>20</v>
      </c>
      <c r="L27" s="7">
        <v>3362.5</v>
      </c>
      <c r="M27" s="9" t="s">
        <v>26</v>
      </c>
      <c r="N27" s="9">
        <v>4.9000000000000004</v>
      </c>
      <c r="O27" s="9" t="s">
        <v>34</v>
      </c>
      <c r="P27" s="7">
        <v>49535.59</v>
      </c>
      <c r="Q27" s="13">
        <v>54.9</v>
      </c>
    </row>
    <row r="28" spans="1:17" x14ac:dyDescent="0.3">
      <c r="A28" s="2" t="s">
        <v>76</v>
      </c>
      <c r="B28" s="3">
        <v>45779</v>
      </c>
      <c r="C28" s="2" t="s">
        <v>29</v>
      </c>
      <c r="D28" s="2" t="s">
        <v>24</v>
      </c>
      <c r="E28" s="4" t="s">
        <v>37</v>
      </c>
      <c r="F28" s="2">
        <v>31</v>
      </c>
      <c r="G28" s="5">
        <v>959</v>
      </c>
      <c r="H28" s="5">
        <v>29729</v>
      </c>
      <c r="I28" s="5">
        <v>5351.22</v>
      </c>
      <c r="J28" s="5">
        <v>51</v>
      </c>
      <c r="K28" s="6">
        <v>15</v>
      </c>
      <c r="L28" s="5">
        <v>19867.43</v>
      </c>
      <c r="M28" s="2" t="s">
        <v>26</v>
      </c>
      <c r="N28" s="2">
        <v>3.3</v>
      </c>
      <c r="O28" s="2" t="s">
        <v>34</v>
      </c>
      <c r="P28" s="7">
        <v>48539.34</v>
      </c>
      <c r="Q28" s="8">
        <v>66.83</v>
      </c>
    </row>
    <row r="29" spans="1:17" x14ac:dyDescent="0.3">
      <c r="A29" s="9" t="s">
        <v>77</v>
      </c>
      <c r="B29" s="10">
        <v>45857</v>
      </c>
      <c r="C29" s="9" t="s">
        <v>36</v>
      </c>
      <c r="D29" s="9" t="s">
        <v>24</v>
      </c>
      <c r="E29" s="11" t="s">
        <v>20</v>
      </c>
      <c r="F29" s="9">
        <v>28</v>
      </c>
      <c r="G29" s="7">
        <v>1134</v>
      </c>
      <c r="H29" s="7">
        <v>31752</v>
      </c>
      <c r="I29" s="7">
        <v>5715.36</v>
      </c>
      <c r="J29" s="7">
        <v>161</v>
      </c>
      <c r="K29" s="12">
        <v>15</v>
      </c>
      <c r="L29" s="7">
        <v>21112.84</v>
      </c>
      <c r="M29" s="9" t="s">
        <v>26</v>
      </c>
      <c r="N29" s="9">
        <v>3.4</v>
      </c>
      <c r="O29" s="9" t="s">
        <v>48</v>
      </c>
      <c r="P29" s="7">
        <v>46540.99</v>
      </c>
      <c r="Q29" s="13">
        <v>66.489999999999995</v>
      </c>
    </row>
    <row r="30" spans="1:17" x14ac:dyDescent="0.3">
      <c r="A30" s="2" t="s">
        <v>78</v>
      </c>
      <c r="B30" s="3">
        <v>45687</v>
      </c>
      <c r="C30" s="2" t="s">
        <v>39</v>
      </c>
      <c r="D30" s="2" t="s">
        <v>19</v>
      </c>
      <c r="E30" s="4" t="s">
        <v>33</v>
      </c>
      <c r="F30" s="2">
        <v>4</v>
      </c>
      <c r="G30" s="5">
        <v>1125</v>
      </c>
      <c r="H30" s="5">
        <v>4500</v>
      </c>
      <c r="I30" s="5">
        <v>810</v>
      </c>
      <c r="J30" s="5">
        <v>486</v>
      </c>
      <c r="K30" s="6">
        <v>20</v>
      </c>
      <c r="L30" s="5">
        <v>2304</v>
      </c>
      <c r="M30" s="2" t="s">
        <v>52</v>
      </c>
      <c r="N30" s="2">
        <v>4</v>
      </c>
      <c r="O30" s="2" t="s">
        <v>79</v>
      </c>
      <c r="P30" s="7">
        <v>51137.16</v>
      </c>
      <c r="Q30" s="8">
        <v>51.2</v>
      </c>
    </row>
    <row r="31" spans="1:17" x14ac:dyDescent="0.3">
      <c r="A31" s="9" t="s">
        <v>80</v>
      </c>
      <c r="B31" s="10">
        <v>45929</v>
      </c>
      <c r="C31" s="9" t="s">
        <v>29</v>
      </c>
      <c r="D31" s="9" t="s">
        <v>19</v>
      </c>
      <c r="E31" s="11" t="s">
        <v>75</v>
      </c>
      <c r="F31" s="9">
        <v>6</v>
      </c>
      <c r="G31" s="7">
        <v>1195</v>
      </c>
      <c r="H31" s="7">
        <v>7170</v>
      </c>
      <c r="I31" s="7">
        <v>1290.5999999999999</v>
      </c>
      <c r="J31" s="7">
        <v>491</v>
      </c>
      <c r="K31" s="12">
        <v>0</v>
      </c>
      <c r="L31" s="7">
        <v>5388.4</v>
      </c>
      <c r="M31" s="9" t="s">
        <v>21</v>
      </c>
      <c r="N31" s="9">
        <v>3.1</v>
      </c>
      <c r="O31" s="9" t="s">
        <v>59</v>
      </c>
      <c r="P31" s="7">
        <v>54667.76</v>
      </c>
      <c r="Q31" s="13">
        <v>75.150000000000006</v>
      </c>
    </row>
    <row r="32" spans="1:17" x14ac:dyDescent="0.3">
      <c r="A32" s="2" t="s">
        <v>81</v>
      </c>
      <c r="B32" s="3">
        <v>45778</v>
      </c>
      <c r="C32" s="2" t="s">
        <v>55</v>
      </c>
      <c r="D32" s="2" t="s">
        <v>19</v>
      </c>
      <c r="E32" s="4" t="s">
        <v>41</v>
      </c>
      <c r="F32" s="2">
        <v>16</v>
      </c>
      <c r="G32" s="5">
        <v>1396</v>
      </c>
      <c r="H32" s="5">
        <v>22336</v>
      </c>
      <c r="I32" s="5">
        <v>4020.48</v>
      </c>
      <c r="J32" s="5">
        <v>264</v>
      </c>
      <c r="K32" s="6">
        <v>20</v>
      </c>
      <c r="L32" s="5">
        <v>13584.32</v>
      </c>
      <c r="M32" s="2" t="s">
        <v>26</v>
      </c>
      <c r="N32" s="2">
        <v>4.2</v>
      </c>
      <c r="O32" s="2" t="s">
        <v>34</v>
      </c>
      <c r="P32" s="7">
        <v>68812.259999999995</v>
      </c>
      <c r="Q32" s="8">
        <v>60.82</v>
      </c>
    </row>
    <row r="33" spans="1:17" x14ac:dyDescent="0.3">
      <c r="A33" s="9" t="s">
        <v>82</v>
      </c>
      <c r="B33" s="10">
        <v>45994</v>
      </c>
      <c r="C33" s="9" t="s">
        <v>39</v>
      </c>
      <c r="D33" s="9" t="s">
        <v>40</v>
      </c>
      <c r="E33" s="11" t="s">
        <v>20</v>
      </c>
      <c r="F33" s="9">
        <v>14</v>
      </c>
      <c r="G33" s="7">
        <v>360</v>
      </c>
      <c r="H33" s="7">
        <v>5040</v>
      </c>
      <c r="I33" s="7">
        <v>907.19999999999993</v>
      </c>
      <c r="J33" s="7">
        <v>393</v>
      </c>
      <c r="K33" s="12">
        <v>5</v>
      </c>
      <c r="L33" s="7">
        <v>3487.8</v>
      </c>
      <c r="M33" s="9" t="s">
        <v>52</v>
      </c>
      <c r="N33" s="9">
        <v>3.8</v>
      </c>
      <c r="O33" s="9" t="s">
        <v>46</v>
      </c>
      <c r="P33" s="7">
        <v>15154.4</v>
      </c>
      <c r="Q33" s="13">
        <v>69.2</v>
      </c>
    </row>
    <row r="34" spans="1:17" x14ac:dyDescent="0.3">
      <c r="A34" s="2" t="s">
        <v>83</v>
      </c>
      <c r="B34" s="3">
        <v>45988</v>
      </c>
      <c r="C34" s="2" t="s">
        <v>36</v>
      </c>
      <c r="D34" s="2" t="s">
        <v>24</v>
      </c>
      <c r="E34" s="4" t="s">
        <v>33</v>
      </c>
      <c r="F34" s="2">
        <v>49</v>
      </c>
      <c r="G34" s="5">
        <v>887</v>
      </c>
      <c r="H34" s="5">
        <v>43463</v>
      </c>
      <c r="I34" s="5">
        <v>7823.34</v>
      </c>
      <c r="J34" s="5">
        <v>338</v>
      </c>
      <c r="K34" s="6">
        <v>0</v>
      </c>
      <c r="L34" s="5">
        <v>35301.660000000003</v>
      </c>
      <c r="M34" s="2" t="s">
        <v>52</v>
      </c>
      <c r="N34" s="2">
        <v>4.2</v>
      </c>
      <c r="O34" s="2" t="s">
        <v>22</v>
      </c>
      <c r="P34" s="7">
        <v>49431.3</v>
      </c>
      <c r="Q34" s="8">
        <v>81.22</v>
      </c>
    </row>
    <row r="35" spans="1:17" x14ac:dyDescent="0.3">
      <c r="A35" s="9" t="s">
        <v>84</v>
      </c>
      <c r="B35" s="10">
        <v>45709</v>
      </c>
      <c r="C35" s="9" t="s">
        <v>18</v>
      </c>
      <c r="D35" s="9" t="s">
        <v>32</v>
      </c>
      <c r="E35" s="11" t="s">
        <v>75</v>
      </c>
      <c r="F35" s="9">
        <v>17</v>
      </c>
      <c r="G35" s="7">
        <v>767</v>
      </c>
      <c r="H35" s="7">
        <v>13039</v>
      </c>
      <c r="I35" s="7">
        <v>2347.02</v>
      </c>
      <c r="J35" s="7">
        <v>239</v>
      </c>
      <c r="K35" s="12">
        <v>10</v>
      </c>
      <c r="L35" s="7">
        <v>9149.08</v>
      </c>
      <c r="M35" s="9" t="s">
        <v>26</v>
      </c>
      <c r="N35" s="9">
        <v>4.8</v>
      </c>
      <c r="O35" s="9" t="s">
        <v>44</v>
      </c>
      <c r="P35" s="7">
        <v>44802.91</v>
      </c>
      <c r="Q35" s="13">
        <v>70.17</v>
      </c>
    </row>
    <row r="36" spans="1:17" x14ac:dyDescent="0.3">
      <c r="A36" s="2" t="s">
        <v>85</v>
      </c>
      <c r="B36" s="3">
        <v>45803</v>
      </c>
      <c r="C36" s="2" t="s">
        <v>29</v>
      </c>
      <c r="D36" s="2" t="s">
        <v>24</v>
      </c>
      <c r="E36" s="4" t="s">
        <v>75</v>
      </c>
      <c r="F36" s="2">
        <v>46</v>
      </c>
      <c r="G36" s="5">
        <v>1004</v>
      </c>
      <c r="H36" s="5">
        <v>46184</v>
      </c>
      <c r="I36" s="5">
        <v>8313.119999999999</v>
      </c>
      <c r="J36" s="5">
        <v>391</v>
      </c>
      <c r="K36" s="6">
        <v>20</v>
      </c>
      <c r="L36" s="5">
        <v>28243.080000000009</v>
      </c>
      <c r="M36" s="2" t="s">
        <v>21</v>
      </c>
      <c r="N36" s="2">
        <v>4.0999999999999996</v>
      </c>
      <c r="O36" s="2" t="s">
        <v>34</v>
      </c>
      <c r="P36" s="7">
        <v>51582.64</v>
      </c>
      <c r="Q36" s="8">
        <v>61.15</v>
      </c>
    </row>
    <row r="37" spans="1:17" x14ac:dyDescent="0.3">
      <c r="A37" s="9" t="s">
        <v>86</v>
      </c>
      <c r="B37" s="10">
        <v>45941</v>
      </c>
      <c r="C37" s="9" t="s">
        <v>36</v>
      </c>
      <c r="D37" s="9" t="s">
        <v>19</v>
      </c>
      <c r="E37" s="11" t="s">
        <v>51</v>
      </c>
      <c r="F37" s="9">
        <v>17</v>
      </c>
      <c r="G37" s="7">
        <v>1159</v>
      </c>
      <c r="H37" s="7">
        <v>19703</v>
      </c>
      <c r="I37" s="7">
        <v>3546.54</v>
      </c>
      <c r="J37" s="7">
        <v>189</v>
      </c>
      <c r="K37" s="12">
        <v>0</v>
      </c>
      <c r="L37" s="7">
        <v>15967.46</v>
      </c>
      <c r="M37" s="9" t="s">
        <v>21</v>
      </c>
      <c r="N37" s="9">
        <v>4.0999999999999996</v>
      </c>
      <c r="O37" s="9" t="s">
        <v>27</v>
      </c>
      <c r="P37" s="7">
        <v>68580.81</v>
      </c>
      <c r="Q37" s="13">
        <v>81.040000000000006</v>
      </c>
    </row>
    <row r="38" spans="1:17" x14ac:dyDescent="0.3">
      <c r="A38" s="2" t="s">
        <v>87</v>
      </c>
      <c r="B38" s="3">
        <v>45802</v>
      </c>
      <c r="C38" s="2" t="s">
        <v>39</v>
      </c>
      <c r="D38" s="2" t="s">
        <v>32</v>
      </c>
      <c r="E38" s="4" t="s">
        <v>33</v>
      </c>
      <c r="F38" s="2">
        <v>14</v>
      </c>
      <c r="G38" s="5">
        <v>835</v>
      </c>
      <c r="H38" s="5">
        <v>11690</v>
      </c>
      <c r="I38" s="5">
        <v>2104.1999999999998</v>
      </c>
      <c r="J38" s="5">
        <v>483</v>
      </c>
      <c r="K38" s="6">
        <v>20</v>
      </c>
      <c r="L38" s="5">
        <v>6764.7999999999993</v>
      </c>
      <c r="M38" s="2" t="s">
        <v>52</v>
      </c>
      <c r="N38" s="2">
        <v>3.5</v>
      </c>
      <c r="O38" s="2" t="s">
        <v>34</v>
      </c>
      <c r="P38" s="7">
        <v>38290.300000000003</v>
      </c>
      <c r="Q38" s="8">
        <v>57.87</v>
      </c>
    </row>
    <row r="39" spans="1:17" x14ac:dyDescent="0.3">
      <c r="A39" s="9" t="s">
        <v>88</v>
      </c>
      <c r="B39" s="10">
        <v>45684</v>
      </c>
      <c r="C39" s="9" t="s">
        <v>18</v>
      </c>
      <c r="D39" s="9" t="s">
        <v>24</v>
      </c>
      <c r="E39" s="11" t="s">
        <v>20</v>
      </c>
      <c r="F39" s="9">
        <v>3</v>
      </c>
      <c r="G39" s="7">
        <v>851</v>
      </c>
      <c r="H39" s="7">
        <v>2553</v>
      </c>
      <c r="I39" s="7">
        <v>459.54</v>
      </c>
      <c r="J39" s="7">
        <v>184</v>
      </c>
      <c r="K39" s="12">
        <v>10</v>
      </c>
      <c r="L39" s="7">
        <v>1654.16</v>
      </c>
      <c r="M39" s="9" t="s">
        <v>26</v>
      </c>
      <c r="N39" s="9">
        <v>4.3</v>
      </c>
      <c r="O39" s="9" t="s">
        <v>79</v>
      </c>
      <c r="P39" s="7">
        <v>45737.35</v>
      </c>
      <c r="Q39" s="13">
        <v>64.790000000000006</v>
      </c>
    </row>
    <row r="40" spans="1:17" x14ac:dyDescent="0.3">
      <c r="A40" s="2" t="s">
        <v>89</v>
      </c>
      <c r="B40" s="3">
        <v>45740</v>
      </c>
      <c r="C40" s="2" t="s">
        <v>55</v>
      </c>
      <c r="D40" s="2" t="s">
        <v>24</v>
      </c>
      <c r="E40" s="4" t="s">
        <v>75</v>
      </c>
      <c r="F40" s="2">
        <v>1</v>
      </c>
      <c r="G40" s="5">
        <v>907</v>
      </c>
      <c r="H40" s="5">
        <v>907</v>
      </c>
      <c r="I40" s="5">
        <v>163.26</v>
      </c>
      <c r="J40" s="5">
        <v>329</v>
      </c>
      <c r="K40" s="6">
        <v>0</v>
      </c>
      <c r="L40" s="5">
        <v>414.74</v>
      </c>
      <c r="M40" s="2" t="s">
        <v>21</v>
      </c>
      <c r="N40" s="2">
        <v>4.8</v>
      </c>
      <c r="O40" s="2" t="s">
        <v>66</v>
      </c>
      <c r="P40" s="7">
        <v>56311.46</v>
      </c>
      <c r="Q40" s="8">
        <v>45.73</v>
      </c>
    </row>
    <row r="41" spans="1:17" x14ac:dyDescent="0.3">
      <c r="A41" s="9" t="s">
        <v>90</v>
      </c>
      <c r="B41" s="10">
        <v>45676</v>
      </c>
      <c r="C41" s="9" t="s">
        <v>36</v>
      </c>
      <c r="D41" s="9" t="s">
        <v>32</v>
      </c>
      <c r="E41" s="11" t="s">
        <v>43</v>
      </c>
      <c r="F41" s="9">
        <v>9</v>
      </c>
      <c r="G41" s="7">
        <v>721</v>
      </c>
      <c r="H41" s="7">
        <v>6489</v>
      </c>
      <c r="I41" s="7">
        <v>1168.02</v>
      </c>
      <c r="J41" s="7">
        <v>457</v>
      </c>
      <c r="K41" s="12">
        <v>10</v>
      </c>
      <c r="L41" s="7">
        <v>4215.08</v>
      </c>
      <c r="M41" s="9" t="s">
        <v>52</v>
      </c>
      <c r="N41" s="9">
        <v>4.8</v>
      </c>
      <c r="O41" s="9" t="s">
        <v>79</v>
      </c>
      <c r="P41" s="7">
        <v>35929.74</v>
      </c>
      <c r="Q41" s="13">
        <v>64.959999999999994</v>
      </c>
    </row>
    <row r="42" spans="1:17" x14ac:dyDescent="0.3">
      <c r="A42" s="2" t="s">
        <v>91</v>
      </c>
      <c r="B42" s="3">
        <v>45678</v>
      </c>
      <c r="C42" s="2" t="s">
        <v>36</v>
      </c>
      <c r="D42" s="2" t="s">
        <v>32</v>
      </c>
      <c r="E42" s="4" t="s">
        <v>30</v>
      </c>
      <c r="F42" s="2">
        <v>43</v>
      </c>
      <c r="G42" s="5">
        <v>752</v>
      </c>
      <c r="H42" s="5">
        <v>32336</v>
      </c>
      <c r="I42" s="5">
        <v>5820.48</v>
      </c>
      <c r="J42" s="5">
        <v>258</v>
      </c>
      <c r="K42" s="6">
        <v>10</v>
      </c>
      <c r="L42" s="5">
        <v>23023.919999999998</v>
      </c>
      <c r="M42" s="2" t="s">
        <v>21</v>
      </c>
      <c r="N42" s="2">
        <v>4.8</v>
      </c>
      <c r="O42" s="2" t="s">
        <v>79</v>
      </c>
      <c r="P42" s="7">
        <v>43502.07</v>
      </c>
      <c r="Q42" s="8">
        <v>71.2</v>
      </c>
    </row>
    <row r="43" spans="1:17" x14ac:dyDescent="0.3">
      <c r="A43" s="9" t="s">
        <v>92</v>
      </c>
      <c r="B43" s="10">
        <v>45975</v>
      </c>
      <c r="C43" s="9" t="s">
        <v>29</v>
      </c>
      <c r="D43" s="9" t="s">
        <v>32</v>
      </c>
      <c r="E43" s="11" t="s">
        <v>51</v>
      </c>
      <c r="F43" s="9">
        <v>12</v>
      </c>
      <c r="G43" s="7">
        <v>911</v>
      </c>
      <c r="H43" s="7">
        <v>10932</v>
      </c>
      <c r="I43" s="7">
        <v>1967.76</v>
      </c>
      <c r="J43" s="7">
        <v>220</v>
      </c>
      <c r="K43" s="12">
        <v>0</v>
      </c>
      <c r="L43" s="7">
        <v>8744.24</v>
      </c>
      <c r="M43" s="9" t="s">
        <v>26</v>
      </c>
      <c r="N43" s="9">
        <v>4.5</v>
      </c>
      <c r="O43" s="9" t="s">
        <v>22</v>
      </c>
      <c r="P43" s="7">
        <v>41145.01</v>
      </c>
      <c r="Q43" s="13">
        <v>79.989999999999995</v>
      </c>
    </row>
    <row r="44" spans="1:17" x14ac:dyDescent="0.3">
      <c r="A44" s="2" t="s">
        <v>93</v>
      </c>
      <c r="B44" s="3">
        <v>45868</v>
      </c>
      <c r="C44" s="2" t="s">
        <v>29</v>
      </c>
      <c r="D44" s="2" t="s">
        <v>40</v>
      </c>
      <c r="E44" s="4" t="s">
        <v>51</v>
      </c>
      <c r="F44" s="2">
        <v>45</v>
      </c>
      <c r="G44" s="5">
        <v>255</v>
      </c>
      <c r="H44" s="5">
        <v>11475</v>
      </c>
      <c r="I44" s="5">
        <v>2065.5</v>
      </c>
      <c r="J44" s="5">
        <v>163</v>
      </c>
      <c r="K44" s="6">
        <v>15</v>
      </c>
      <c r="L44" s="5">
        <v>7525.25</v>
      </c>
      <c r="M44" s="2" t="s">
        <v>26</v>
      </c>
      <c r="N44" s="2">
        <v>4.7</v>
      </c>
      <c r="O44" s="2" t="s">
        <v>48</v>
      </c>
      <c r="P44" s="7">
        <v>17173</v>
      </c>
      <c r="Q44" s="8">
        <v>65.58</v>
      </c>
    </row>
    <row r="45" spans="1:17" x14ac:dyDescent="0.3">
      <c r="A45" s="9" t="s">
        <v>94</v>
      </c>
      <c r="B45" s="10">
        <v>45760</v>
      </c>
      <c r="C45" s="9" t="s">
        <v>55</v>
      </c>
      <c r="D45" s="9" t="s">
        <v>40</v>
      </c>
      <c r="E45" s="11" t="s">
        <v>20</v>
      </c>
      <c r="F45" s="9">
        <v>15</v>
      </c>
      <c r="G45" s="7">
        <v>314</v>
      </c>
      <c r="H45" s="7">
        <v>4710</v>
      </c>
      <c r="I45" s="7">
        <v>847.8</v>
      </c>
      <c r="J45" s="7">
        <v>218</v>
      </c>
      <c r="K45" s="12">
        <v>0</v>
      </c>
      <c r="L45" s="7">
        <v>3644.2</v>
      </c>
      <c r="M45" s="9" t="s">
        <v>21</v>
      </c>
      <c r="N45" s="9">
        <v>3.4</v>
      </c>
      <c r="O45" s="9" t="s">
        <v>69</v>
      </c>
      <c r="P45" s="7">
        <v>16997.599999999999</v>
      </c>
      <c r="Q45" s="13">
        <v>77.37</v>
      </c>
    </row>
    <row r="46" spans="1:17" x14ac:dyDescent="0.3">
      <c r="A46" s="2" t="s">
        <v>95</v>
      </c>
      <c r="B46" s="3">
        <v>45800</v>
      </c>
      <c r="C46" s="2" t="s">
        <v>18</v>
      </c>
      <c r="D46" s="2" t="s">
        <v>40</v>
      </c>
      <c r="E46" s="4" t="s">
        <v>33</v>
      </c>
      <c r="F46" s="2">
        <v>42</v>
      </c>
      <c r="G46" s="5">
        <v>460</v>
      </c>
      <c r="H46" s="5">
        <v>19320</v>
      </c>
      <c r="I46" s="5">
        <v>3477.6</v>
      </c>
      <c r="J46" s="5">
        <v>324</v>
      </c>
      <c r="K46" s="6">
        <v>15</v>
      </c>
      <c r="L46" s="5">
        <v>12620.4</v>
      </c>
      <c r="M46" s="2" t="s">
        <v>21</v>
      </c>
      <c r="N46" s="2">
        <v>5</v>
      </c>
      <c r="O46" s="2" t="s">
        <v>34</v>
      </c>
      <c r="P46" s="7">
        <v>15721.35</v>
      </c>
      <c r="Q46" s="8">
        <v>65.319999999999993</v>
      </c>
    </row>
    <row r="47" spans="1:17" x14ac:dyDescent="0.3">
      <c r="A47" s="9" t="s">
        <v>96</v>
      </c>
      <c r="B47" s="10">
        <v>45827</v>
      </c>
      <c r="C47" s="9" t="s">
        <v>18</v>
      </c>
      <c r="D47" s="9" t="s">
        <v>19</v>
      </c>
      <c r="E47" s="11" t="s">
        <v>20</v>
      </c>
      <c r="F47" s="9">
        <v>12</v>
      </c>
      <c r="G47" s="7">
        <v>1397</v>
      </c>
      <c r="H47" s="7">
        <v>16764</v>
      </c>
      <c r="I47" s="7">
        <v>3017.52</v>
      </c>
      <c r="J47" s="7">
        <v>272</v>
      </c>
      <c r="K47" s="12">
        <v>10</v>
      </c>
      <c r="L47" s="7">
        <v>11798.08</v>
      </c>
      <c r="M47" s="9" t="s">
        <v>26</v>
      </c>
      <c r="N47" s="9">
        <v>3.2</v>
      </c>
      <c r="O47" s="9" t="s">
        <v>63</v>
      </c>
      <c r="P47" s="7">
        <v>51667.12</v>
      </c>
      <c r="Q47" s="13">
        <v>70.38</v>
      </c>
    </row>
    <row r="48" spans="1:17" x14ac:dyDescent="0.3">
      <c r="A48" s="2" t="s">
        <v>97</v>
      </c>
      <c r="B48" s="3">
        <v>45834</v>
      </c>
      <c r="C48" s="2" t="s">
        <v>36</v>
      </c>
      <c r="D48" s="2" t="s">
        <v>24</v>
      </c>
      <c r="E48" s="4" t="s">
        <v>41</v>
      </c>
      <c r="F48" s="2">
        <v>33</v>
      </c>
      <c r="G48" s="5">
        <v>909</v>
      </c>
      <c r="H48" s="5">
        <v>29997</v>
      </c>
      <c r="I48" s="5">
        <v>5399.46</v>
      </c>
      <c r="J48" s="5">
        <v>72</v>
      </c>
      <c r="K48" s="6">
        <v>15</v>
      </c>
      <c r="L48" s="5">
        <v>20025.990000000002</v>
      </c>
      <c r="M48" s="2" t="s">
        <v>21</v>
      </c>
      <c r="N48" s="2">
        <v>3.4</v>
      </c>
      <c r="O48" s="2" t="s">
        <v>63</v>
      </c>
      <c r="P48" s="7">
        <v>42849.56</v>
      </c>
      <c r="Q48" s="8">
        <v>66.760000000000005</v>
      </c>
    </row>
    <row r="49" spans="1:17" x14ac:dyDescent="0.3">
      <c r="A49" s="9" t="s">
        <v>98</v>
      </c>
      <c r="B49" s="10">
        <v>46020</v>
      </c>
      <c r="C49" s="9" t="s">
        <v>55</v>
      </c>
      <c r="D49" s="9" t="s">
        <v>19</v>
      </c>
      <c r="E49" s="11" t="s">
        <v>75</v>
      </c>
      <c r="F49" s="9">
        <v>35</v>
      </c>
      <c r="G49" s="7">
        <v>1200</v>
      </c>
      <c r="H49" s="7">
        <v>42000</v>
      </c>
      <c r="I49" s="7">
        <v>7560</v>
      </c>
      <c r="J49" s="7">
        <v>390</v>
      </c>
      <c r="K49" s="12">
        <v>10</v>
      </c>
      <c r="L49" s="7">
        <v>29850</v>
      </c>
      <c r="M49" s="9" t="s">
        <v>52</v>
      </c>
      <c r="N49" s="9">
        <v>3.1</v>
      </c>
      <c r="O49" s="9" t="s">
        <v>46</v>
      </c>
      <c r="P49" s="7">
        <v>59527.08</v>
      </c>
      <c r="Q49" s="13">
        <v>71.069999999999993</v>
      </c>
    </row>
    <row r="50" spans="1:17" x14ac:dyDescent="0.3">
      <c r="A50" s="2" t="s">
        <v>99</v>
      </c>
      <c r="B50" s="3">
        <v>45827</v>
      </c>
      <c r="C50" s="2" t="s">
        <v>39</v>
      </c>
      <c r="D50" s="2" t="s">
        <v>40</v>
      </c>
      <c r="E50" s="4" t="s">
        <v>58</v>
      </c>
      <c r="F50" s="2">
        <v>47</v>
      </c>
      <c r="G50" s="5">
        <v>353</v>
      </c>
      <c r="H50" s="5">
        <v>16591</v>
      </c>
      <c r="I50" s="5">
        <v>2986.38</v>
      </c>
      <c r="J50" s="5">
        <v>217</v>
      </c>
      <c r="K50" s="6">
        <v>20</v>
      </c>
      <c r="L50" s="5">
        <v>10069.42</v>
      </c>
      <c r="M50" s="2" t="s">
        <v>52</v>
      </c>
      <c r="N50" s="2">
        <v>4.3</v>
      </c>
      <c r="O50" s="2" t="s">
        <v>63</v>
      </c>
      <c r="P50" s="7">
        <v>16438.509999999998</v>
      </c>
      <c r="Q50" s="8">
        <v>60.69</v>
      </c>
    </row>
    <row r="51" spans="1:17" x14ac:dyDescent="0.3">
      <c r="A51" s="9" t="s">
        <v>100</v>
      </c>
      <c r="B51" s="10">
        <v>45864</v>
      </c>
      <c r="C51" s="9" t="s">
        <v>36</v>
      </c>
      <c r="D51" s="9" t="s">
        <v>32</v>
      </c>
      <c r="E51" s="11" t="s">
        <v>30</v>
      </c>
      <c r="F51" s="9">
        <v>27</v>
      </c>
      <c r="G51" s="7">
        <v>894</v>
      </c>
      <c r="H51" s="7">
        <v>24138</v>
      </c>
      <c r="I51" s="7">
        <v>4344.84</v>
      </c>
      <c r="J51" s="7">
        <v>257</v>
      </c>
      <c r="K51" s="12">
        <v>5</v>
      </c>
      <c r="L51" s="7">
        <v>18329.259999999998</v>
      </c>
      <c r="M51" s="9" t="s">
        <v>21</v>
      </c>
      <c r="N51" s="9">
        <v>4.0999999999999996</v>
      </c>
      <c r="O51" s="9" t="s">
        <v>48</v>
      </c>
      <c r="P51" s="7">
        <v>34973.919999999998</v>
      </c>
      <c r="Q51" s="13">
        <v>75.94</v>
      </c>
    </row>
    <row r="52" spans="1:17" x14ac:dyDescent="0.3">
      <c r="A52" s="2" t="s">
        <v>101</v>
      </c>
      <c r="B52" s="3">
        <v>45938</v>
      </c>
      <c r="C52" s="2" t="s">
        <v>18</v>
      </c>
      <c r="D52" s="2" t="s">
        <v>40</v>
      </c>
      <c r="E52" s="4" t="s">
        <v>20</v>
      </c>
      <c r="F52" s="2">
        <v>14</v>
      </c>
      <c r="G52" s="5">
        <v>420</v>
      </c>
      <c r="H52" s="5">
        <v>5880</v>
      </c>
      <c r="I52" s="5">
        <v>1058.4000000000001</v>
      </c>
      <c r="J52" s="5">
        <v>288</v>
      </c>
      <c r="K52" s="6">
        <v>20</v>
      </c>
      <c r="L52" s="5">
        <v>3357.6</v>
      </c>
      <c r="M52" s="2" t="s">
        <v>21</v>
      </c>
      <c r="N52" s="2">
        <v>4.3</v>
      </c>
      <c r="O52" s="2" t="s">
        <v>27</v>
      </c>
      <c r="P52" s="7">
        <v>14664.39</v>
      </c>
      <c r="Q52" s="8">
        <v>57.1</v>
      </c>
    </row>
    <row r="53" spans="1:17" x14ac:dyDescent="0.3">
      <c r="A53" s="9" t="s">
        <v>102</v>
      </c>
      <c r="B53" s="10">
        <v>45884</v>
      </c>
      <c r="C53" s="9" t="s">
        <v>55</v>
      </c>
      <c r="D53" s="9" t="s">
        <v>32</v>
      </c>
      <c r="E53" s="11" t="s">
        <v>75</v>
      </c>
      <c r="F53" s="9">
        <v>31</v>
      </c>
      <c r="G53" s="7">
        <v>786</v>
      </c>
      <c r="H53" s="7">
        <v>24366</v>
      </c>
      <c r="I53" s="7">
        <v>4385.88</v>
      </c>
      <c r="J53" s="7">
        <v>374</v>
      </c>
      <c r="K53" s="12">
        <v>0</v>
      </c>
      <c r="L53" s="7">
        <v>19606.12</v>
      </c>
      <c r="M53" s="9" t="s">
        <v>52</v>
      </c>
      <c r="N53" s="9">
        <v>4</v>
      </c>
      <c r="O53" s="9" t="s">
        <v>53</v>
      </c>
      <c r="P53" s="7">
        <v>35032.230000000003</v>
      </c>
      <c r="Q53" s="13">
        <v>80.47</v>
      </c>
    </row>
    <row r="54" spans="1:17" x14ac:dyDescent="0.3">
      <c r="A54" s="2" t="s">
        <v>103</v>
      </c>
      <c r="B54" s="3">
        <v>45975</v>
      </c>
      <c r="C54" s="2" t="s">
        <v>36</v>
      </c>
      <c r="D54" s="2" t="s">
        <v>19</v>
      </c>
      <c r="E54" s="4" t="s">
        <v>30</v>
      </c>
      <c r="F54" s="2">
        <v>44</v>
      </c>
      <c r="G54" s="5">
        <v>1258</v>
      </c>
      <c r="H54" s="5">
        <v>55352</v>
      </c>
      <c r="I54" s="5">
        <v>9963.3599999999988</v>
      </c>
      <c r="J54" s="5">
        <v>73</v>
      </c>
      <c r="K54" s="6">
        <v>5</v>
      </c>
      <c r="L54" s="5">
        <v>42548.04</v>
      </c>
      <c r="M54" s="2" t="s">
        <v>26</v>
      </c>
      <c r="N54" s="2">
        <v>3.3</v>
      </c>
      <c r="O54" s="2" t="s">
        <v>22</v>
      </c>
      <c r="P54" s="7">
        <v>56576.52</v>
      </c>
      <c r="Q54" s="8">
        <v>76.87</v>
      </c>
    </row>
    <row r="55" spans="1:17" x14ac:dyDescent="0.3">
      <c r="A55" s="9" t="s">
        <v>104</v>
      </c>
      <c r="B55" s="10">
        <v>45783</v>
      </c>
      <c r="C55" s="9" t="s">
        <v>55</v>
      </c>
      <c r="D55" s="9" t="s">
        <v>19</v>
      </c>
      <c r="E55" s="11" t="s">
        <v>37</v>
      </c>
      <c r="F55" s="9">
        <v>27</v>
      </c>
      <c r="G55" s="7">
        <v>1394</v>
      </c>
      <c r="H55" s="7">
        <v>37638</v>
      </c>
      <c r="I55" s="7">
        <v>6774.84</v>
      </c>
      <c r="J55" s="7">
        <v>303</v>
      </c>
      <c r="K55" s="12">
        <v>5</v>
      </c>
      <c r="L55" s="7">
        <v>28678.26</v>
      </c>
      <c r="M55" s="9" t="s">
        <v>21</v>
      </c>
      <c r="N55" s="9">
        <v>4.4000000000000004</v>
      </c>
      <c r="O55" s="9" t="s">
        <v>34</v>
      </c>
      <c r="P55" s="7">
        <v>51102.02</v>
      </c>
      <c r="Q55" s="13">
        <v>76.19</v>
      </c>
    </row>
    <row r="56" spans="1:17" x14ac:dyDescent="0.3">
      <c r="A56" s="2" t="s">
        <v>105</v>
      </c>
      <c r="B56" s="3">
        <v>45862</v>
      </c>
      <c r="C56" s="2" t="s">
        <v>29</v>
      </c>
      <c r="D56" s="2" t="s">
        <v>32</v>
      </c>
      <c r="E56" s="4" t="s">
        <v>25</v>
      </c>
      <c r="F56" s="2">
        <v>49</v>
      </c>
      <c r="G56" s="5">
        <v>754</v>
      </c>
      <c r="H56" s="5">
        <v>36946</v>
      </c>
      <c r="I56" s="5">
        <v>6650.28</v>
      </c>
      <c r="J56" s="5">
        <v>406</v>
      </c>
      <c r="K56" s="6">
        <v>15</v>
      </c>
      <c r="L56" s="5">
        <v>24347.82</v>
      </c>
      <c r="M56" s="2" t="s">
        <v>26</v>
      </c>
      <c r="N56" s="2">
        <v>3.4</v>
      </c>
      <c r="O56" s="2" t="s">
        <v>48</v>
      </c>
      <c r="P56" s="7">
        <v>37956.370000000003</v>
      </c>
      <c r="Q56" s="8">
        <v>65.900000000000006</v>
      </c>
    </row>
    <row r="57" spans="1:17" x14ac:dyDescent="0.3">
      <c r="A57" s="9" t="s">
        <v>106</v>
      </c>
      <c r="B57" s="10">
        <v>45923</v>
      </c>
      <c r="C57" s="9" t="s">
        <v>55</v>
      </c>
      <c r="D57" s="9" t="s">
        <v>19</v>
      </c>
      <c r="E57" s="11" t="s">
        <v>75</v>
      </c>
      <c r="F57" s="9">
        <v>16</v>
      </c>
      <c r="G57" s="7">
        <v>1162</v>
      </c>
      <c r="H57" s="7">
        <v>18592</v>
      </c>
      <c r="I57" s="7">
        <v>3346.56</v>
      </c>
      <c r="J57" s="7">
        <v>391</v>
      </c>
      <c r="K57" s="12">
        <v>15</v>
      </c>
      <c r="L57" s="7">
        <v>12065.64</v>
      </c>
      <c r="M57" s="9" t="s">
        <v>26</v>
      </c>
      <c r="N57" s="9">
        <v>4.5999999999999996</v>
      </c>
      <c r="O57" s="9" t="s">
        <v>59</v>
      </c>
      <c r="P57" s="7">
        <v>60421.24</v>
      </c>
      <c r="Q57" s="13">
        <v>64.900000000000006</v>
      </c>
    </row>
    <row r="58" spans="1:17" x14ac:dyDescent="0.3">
      <c r="A58" s="2" t="s">
        <v>107</v>
      </c>
      <c r="B58" s="3">
        <v>45929</v>
      </c>
      <c r="C58" s="2" t="s">
        <v>39</v>
      </c>
      <c r="D58" s="2" t="s">
        <v>40</v>
      </c>
      <c r="E58" s="4" t="s">
        <v>37</v>
      </c>
      <c r="F58" s="2">
        <v>40</v>
      </c>
      <c r="G58" s="5">
        <v>458</v>
      </c>
      <c r="H58" s="5">
        <v>18320</v>
      </c>
      <c r="I58" s="5">
        <v>3297.6</v>
      </c>
      <c r="J58" s="5">
        <v>131</v>
      </c>
      <c r="K58" s="6">
        <v>15</v>
      </c>
      <c r="L58" s="5">
        <v>12143.4</v>
      </c>
      <c r="M58" s="2" t="s">
        <v>21</v>
      </c>
      <c r="N58" s="2">
        <v>3.9</v>
      </c>
      <c r="O58" s="2" t="s">
        <v>59</v>
      </c>
      <c r="P58" s="7">
        <v>13653.57</v>
      </c>
      <c r="Q58" s="8">
        <v>66.28</v>
      </c>
    </row>
    <row r="59" spans="1:17" x14ac:dyDescent="0.3">
      <c r="A59" s="9" t="s">
        <v>108</v>
      </c>
      <c r="B59" s="10">
        <v>45901</v>
      </c>
      <c r="C59" s="9" t="s">
        <v>55</v>
      </c>
      <c r="D59" s="9" t="s">
        <v>40</v>
      </c>
      <c r="E59" s="11" t="s">
        <v>30</v>
      </c>
      <c r="F59" s="9">
        <v>41</v>
      </c>
      <c r="G59" s="7">
        <v>341</v>
      </c>
      <c r="H59" s="7">
        <v>13981</v>
      </c>
      <c r="I59" s="7">
        <v>2516.58</v>
      </c>
      <c r="J59" s="7">
        <v>190</v>
      </c>
      <c r="K59" s="12">
        <v>20</v>
      </c>
      <c r="L59" s="7">
        <v>8478.2200000000012</v>
      </c>
      <c r="M59" s="9" t="s">
        <v>52</v>
      </c>
      <c r="N59" s="9">
        <v>4.3</v>
      </c>
      <c r="O59" s="9" t="s">
        <v>59</v>
      </c>
      <c r="P59" s="7">
        <v>16292.47</v>
      </c>
      <c r="Q59" s="13">
        <v>60.64</v>
      </c>
    </row>
    <row r="60" spans="1:17" x14ac:dyDescent="0.3">
      <c r="A60" s="2" t="s">
        <v>109</v>
      </c>
      <c r="B60" s="3">
        <v>45883</v>
      </c>
      <c r="C60" s="2" t="s">
        <v>18</v>
      </c>
      <c r="D60" s="2" t="s">
        <v>40</v>
      </c>
      <c r="E60" s="4" t="s">
        <v>30</v>
      </c>
      <c r="F60" s="2">
        <v>18</v>
      </c>
      <c r="G60" s="5">
        <v>371</v>
      </c>
      <c r="H60" s="5">
        <v>6678</v>
      </c>
      <c r="I60" s="5">
        <v>1202.04</v>
      </c>
      <c r="J60" s="5">
        <v>127</v>
      </c>
      <c r="K60" s="6">
        <v>10</v>
      </c>
      <c r="L60" s="5">
        <v>4681.16</v>
      </c>
      <c r="M60" s="2" t="s">
        <v>21</v>
      </c>
      <c r="N60" s="2">
        <v>3.2</v>
      </c>
      <c r="O60" s="2" t="s">
        <v>53</v>
      </c>
      <c r="P60" s="7">
        <v>12999.3</v>
      </c>
      <c r="Q60" s="8">
        <v>70.099999999999994</v>
      </c>
    </row>
    <row r="61" spans="1:17" x14ac:dyDescent="0.3">
      <c r="A61" s="9" t="s">
        <v>110</v>
      </c>
      <c r="B61" s="10">
        <v>45776</v>
      </c>
      <c r="C61" s="9" t="s">
        <v>55</v>
      </c>
      <c r="D61" s="9" t="s">
        <v>32</v>
      </c>
      <c r="E61" s="11" t="s">
        <v>30</v>
      </c>
      <c r="F61" s="9">
        <v>5</v>
      </c>
      <c r="G61" s="7">
        <v>912</v>
      </c>
      <c r="H61" s="7">
        <v>4560</v>
      </c>
      <c r="I61" s="7">
        <v>820.8</v>
      </c>
      <c r="J61" s="7">
        <v>262</v>
      </c>
      <c r="K61" s="12">
        <v>15</v>
      </c>
      <c r="L61" s="7">
        <v>2793.2</v>
      </c>
      <c r="M61" s="9" t="s">
        <v>52</v>
      </c>
      <c r="N61" s="9">
        <v>4.0999999999999996</v>
      </c>
      <c r="O61" s="9" t="s">
        <v>69</v>
      </c>
      <c r="P61" s="7">
        <v>36537.22</v>
      </c>
      <c r="Q61" s="13">
        <v>61.25</v>
      </c>
    </row>
    <row r="62" spans="1:17" x14ac:dyDescent="0.3">
      <c r="A62" s="2" t="s">
        <v>111</v>
      </c>
      <c r="B62" s="3">
        <v>45689</v>
      </c>
      <c r="C62" s="2" t="s">
        <v>29</v>
      </c>
      <c r="D62" s="2" t="s">
        <v>24</v>
      </c>
      <c r="E62" s="4" t="s">
        <v>43</v>
      </c>
      <c r="F62" s="2">
        <v>50</v>
      </c>
      <c r="G62" s="5">
        <v>1149</v>
      </c>
      <c r="H62" s="5">
        <v>57450</v>
      </c>
      <c r="I62" s="5">
        <v>10341</v>
      </c>
      <c r="J62" s="5">
        <v>53</v>
      </c>
      <c r="K62" s="6">
        <v>0</v>
      </c>
      <c r="L62" s="5">
        <v>47056</v>
      </c>
      <c r="M62" s="2" t="s">
        <v>21</v>
      </c>
      <c r="N62" s="2">
        <v>3.8</v>
      </c>
      <c r="O62" s="2" t="s">
        <v>44</v>
      </c>
      <c r="P62" s="7">
        <v>46363.65</v>
      </c>
      <c r="Q62" s="8">
        <v>81.91</v>
      </c>
    </row>
    <row r="63" spans="1:17" x14ac:dyDescent="0.3">
      <c r="A63" s="9" t="s">
        <v>112</v>
      </c>
      <c r="B63" s="10">
        <v>45838</v>
      </c>
      <c r="C63" s="9" t="s">
        <v>36</v>
      </c>
      <c r="D63" s="9" t="s">
        <v>24</v>
      </c>
      <c r="E63" s="11" t="s">
        <v>43</v>
      </c>
      <c r="F63" s="9">
        <v>35</v>
      </c>
      <c r="G63" s="7">
        <v>1129</v>
      </c>
      <c r="H63" s="7">
        <v>39515</v>
      </c>
      <c r="I63" s="7">
        <v>7112.7</v>
      </c>
      <c r="J63" s="7">
        <v>189</v>
      </c>
      <c r="K63" s="12">
        <v>20</v>
      </c>
      <c r="L63" s="7">
        <v>24310.3</v>
      </c>
      <c r="M63" s="9" t="s">
        <v>26</v>
      </c>
      <c r="N63" s="9">
        <v>4</v>
      </c>
      <c r="O63" s="9" t="s">
        <v>63</v>
      </c>
      <c r="P63" s="7">
        <v>48561.01</v>
      </c>
      <c r="Q63" s="13">
        <v>61.52</v>
      </c>
    </row>
    <row r="64" spans="1:17" x14ac:dyDescent="0.3">
      <c r="A64" s="2" t="s">
        <v>113</v>
      </c>
      <c r="B64" s="3">
        <v>45881</v>
      </c>
      <c r="C64" s="2" t="s">
        <v>55</v>
      </c>
      <c r="D64" s="2" t="s">
        <v>19</v>
      </c>
      <c r="E64" s="4" t="s">
        <v>43</v>
      </c>
      <c r="F64" s="2">
        <v>22</v>
      </c>
      <c r="G64" s="5">
        <v>1307</v>
      </c>
      <c r="H64" s="5">
        <v>28754</v>
      </c>
      <c r="I64" s="5">
        <v>5175.72</v>
      </c>
      <c r="J64" s="5">
        <v>368</v>
      </c>
      <c r="K64" s="6">
        <v>5</v>
      </c>
      <c r="L64" s="5">
        <v>21772.58</v>
      </c>
      <c r="M64" s="2" t="s">
        <v>52</v>
      </c>
      <c r="N64" s="2">
        <v>4.8</v>
      </c>
      <c r="O64" s="2" t="s">
        <v>53</v>
      </c>
      <c r="P64" s="7">
        <v>64748.31</v>
      </c>
      <c r="Q64" s="8">
        <v>75.72</v>
      </c>
    </row>
    <row r="65" spans="1:17" x14ac:dyDescent="0.3">
      <c r="A65" s="9" t="s">
        <v>114</v>
      </c>
      <c r="B65" s="10">
        <v>45931</v>
      </c>
      <c r="C65" s="9" t="s">
        <v>18</v>
      </c>
      <c r="D65" s="9" t="s">
        <v>24</v>
      </c>
      <c r="E65" s="11" t="s">
        <v>41</v>
      </c>
      <c r="F65" s="9">
        <v>37</v>
      </c>
      <c r="G65" s="7">
        <v>863</v>
      </c>
      <c r="H65" s="7">
        <v>31931</v>
      </c>
      <c r="I65" s="7">
        <v>5747.58</v>
      </c>
      <c r="J65" s="7">
        <v>493</v>
      </c>
      <c r="K65" s="12">
        <v>0</v>
      </c>
      <c r="L65" s="7">
        <v>25690.42</v>
      </c>
      <c r="M65" s="9" t="s">
        <v>21</v>
      </c>
      <c r="N65" s="9">
        <v>3.9</v>
      </c>
      <c r="O65" s="9" t="s">
        <v>27</v>
      </c>
      <c r="P65" s="7">
        <v>47807.13</v>
      </c>
      <c r="Q65" s="13">
        <v>80.459999999999994</v>
      </c>
    </row>
    <row r="66" spans="1:17" x14ac:dyDescent="0.3">
      <c r="A66" s="2" t="s">
        <v>115</v>
      </c>
      <c r="B66" s="3">
        <v>45894</v>
      </c>
      <c r="C66" s="2" t="s">
        <v>29</v>
      </c>
      <c r="D66" s="2" t="s">
        <v>19</v>
      </c>
      <c r="E66" s="4" t="s">
        <v>20</v>
      </c>
      <c r="F66" s="2">
        <v>25</v>
      </c>
      <c r="G66" s="5">
        <v>1267</v>
      </c>
      <c r="H66" s="5">
        <v>31675</v>
      </c>
      <c r="I66" s="5">
        <v>5701.5</v>
      </c>
      <c r="J66" s="5">
        <v>439</v>
      </c>
      <c r="K66" s="6">
        <v>5</v>
      </c>
      <c r="L66" s="5">
        <v>23950.75</v>
      </c>
      <c r="M66" s="2" t="s">
        <v>52</v>
      </c>
      <c r="N66" s="2">
        <v>3.7</v>
      </c>
      <c r="O66" s="2" t="s">
        <v>53</v>
      </c>
      <c r="P66" s="7">
        <v>63509.98</v>
      </c>
      <c r="Q66" s="8">
        <v>75.61</v>
      </c>
    </row>
    <row r="67" spans="1:17" x14ac:dyDescent="0.3">
      <c r="A67" s="9" t="s">
        <v>116</v>
      </c>
      <c r="B67" s="10">
        <v>45852</v>
      </c>
      <c r="C67" s="9" t="s">
        <v>36</v>
      </c>
      <c r="D67" s="9" t="s">
        <v>24</v>
      </c>
      <c r="E67" s="11" t="s">
        <v>20</v>
      </c>
      <c r="F67" s="9">
        <v>6</v>
      </c>
      <c r="G67" s="7">
        <v>1090</v>
      </c>
      <c r="H67" s="7">
        <v>6540</v>
      </c>
      <c r="I67" s="7">
        <v>1177.2</v>
      </c>
      <c r="J67" s="7">
        <v>229</v>
      </c>
      <c r="K67" s="12">
        <v>0</v>
      </c>
      <c r="L67" s="7">
        <v>5133.8</v>
      </c>
      <c r="M67" s="9" t="s">
        <v>21</v>
      </c>
      <c r="N67" s="9">
        <v>4.0999999999999996</v>
      </c>
      <c r="O67" s="9" t="s">
        <v>48</v>
      </c>
      <c r="P67" s="7">
        <v>56332.99</v>
      </c>
      <c r="Q67" s="13">
        <v>78.5</v>
      </c>
    </row>
    <row r="68" spans="1:17" x14ac:dyDescent="0.3">
      <c r="A68" s="2" t="s">
        <v>117</v>
      </c>
      <c r="B68" s="3">
        <v>45772</v>
      </c>
      <c r="C68" s="2" t="s">
        <v>18</v>
      </c>
      <c r="D68" s="2" t="s">
        <v>19</v>
      </c>
      <c r="E68" s="4" t="s">
        <v>25</v>
      </c>
      <c r="F68" s="2">
        <v>16</v>
      </c>
      <c r="G68" s="5">
        <v>1202</v>
      </c>
      <c r="H68" s="5">
        <v>19232</v>
      </c>
      <c r="I68" s="5">
        <v>3461.76</v>
      </c>
      <c r="J68" s="5">
        <v>114</v>
      </c>
      <c r="K68" s="6">
        <v>0</v>
      </c>
      <c r="L68" s="5">
        <v>15656.24</v>
      </c>
      <c r="M68" s="2" t="s">
        <v>21</v>
      </c>
      <c r="N68" s="2">
        <v>3.3</v>
      </c>
      <c r="O68" s="2" t="s">
        <v>69</v>
      </c>
      <c r="P68" s="7">
        <v>53356.68</v>
      </c>
      <c r="Q68" s="8">
        <v>81.41</v>
      </c>
    </row>
    <row r="69" spans="1:17" x14ac:dyDescent="0.3">
      <c r="A69" s="9" t="s">
        <v>118</v>
      </c>
      <c r="B69" s="10">
        <v>45900</v>
      </c>
      <c r="C69" s="9" t="s">
        <v>18</v>
      </c>
      <c r="D69" s="9" t="s">
        <v>32</v>
      </c>
      <c r="E69" s="11" t="s">
        <v>37</v>
      </c>
      <c r="F69" s="9">
        <v>45</v>
      </c>
      <c r="G69" s="7">
        <v>831</v>
      </c>
      <c r="H69" s="7">
        <v>37395</v>
      </c>
      <c r="I69" s="7">
        <v>6731.0999999999995</v>
      </c>
      <c r="J69" s="7">
        <v>432</v>
      </c>
      <c r="K69" s="12">
        <v>10</v>
      </c>
      <c r="L69" s="7">
        <v>26492.400000000001</v>
      </c>
      <c r="M69" s="9" t="s">
        <v>26</v>
      </c>
      <c r="N69" s="9">
        <v>4.2</v>
      </c>
      <c r="O69" s="9" t="s">
        <v>53</v>
      </c>
      <c r="P69" s="7">
        <v>44367.15</v>
      </c>
      <c r="Q69" s="13">
        <v>70.84</v>
      </c>
    </row>
    <row r="70" spans="1:17" x14ac:dyDescent="0.3">
      <c r="A70" s="2" t="s">
        <v>119</v>
      </c>
      <c r="B70" s="3">
        <v>45716</v>
      </c>
      <c r="C70" s="2" t="s">
        <v>29</v>
      </c>
      <c r="D70" s="2" t="s">
        <v>40</v>
      </c>
      <c r="E70" s="4" t="s">
        <v>58</v>
      </c>
      <c r="F70" s="2">
        <v>38</v>
      </c>
      <c r="G70" s="5">
        <v>213</v>
      </c>
      <c r="H70" s="5">
        <v>8094</v>
      </c>
      <c r="I70" s="5">
        <v>1456.92</v>
      </c>
      <c r="J70" s="5">
        <v>242</v>
      </c>
      <c r="K70" s="6">
        <v>10</v>
      </c>
      <c r="L70" s="5">
        <v>5585.68</v>
      </c>
      <c r="M70" s="2" t="s">
        <v>21</v>
      </c>
      <c r="N70" s="2">
        <v>4.4000000000000004</v>
      </c>
      <c r="O70" s="2" t="s">
        <v>44</v>
      </c>
      <c r="P70" s="7">
        <v>15448.51</v>
      </c>
      <c r="Q70" s="8">
        <v>69.010000000000005</v>
      </c>
    </row>
    <row r="71" spans="1:17" x14ac:dyDescent="0.3">
      <c r="A71" s="9" t="s">
        <v>120</v>
      </c>
      <c r="B71" s="10">
        <v>45861</v>
      </c>
      <c r="C71" s="9" t="s">
        <v>29</v>
      </c>
      <c r="D71" s="9" t="s">
        <v>19</v>
      </c>
      <c r="E71" s="11" t="s">
        <v>41</v>
      </c>
      <c r="F71" s="9">
        <v>45</v>
      </c>
      <c r="G71" s="7">
        <v>1224</v>
      </c>
      <c r="H71" s="7">
        <v>55080</v>
      </c>
      <c r="I71" s="7">
        <v>9914.4</v>
      </c>
      <c r="J71" s="7">
        <v>485</v>
      </c>
      <c r="K71" s="12">
        <v>0</v>
      </c>
      <c r="L71" s="7">
        <v>44680.6</v>
      </c>
      <c r="M71" s="9" t="s">
        <v>21</v>
      </c>
      <c r="N71" s="9">
        <v>4.5</v>
      </c>
      <c r="O71" s="9" t="s">
        <v>48</v>
      </c>
      <c r="P71" s="7">
        <v>64449.98</v>
      </c>
      <c r="Q71" s="13">
        <v>81.12</v>
      </c>
    </row>
    <row r="72" spans="1:17" x14ac:dyDescent="0.3">
      <c r="A72" s="2" t="s">
        <v>121</v>
      </c>
      <c r="B72" s="3">
        <v>46008</v>
      </c>
      <c r="C72" s="2" t="s">
        <v>39</v>
      </c>
      <c r="D72" s="2" t="s">
        <v>19</v>
      </c>
      <c r="E72" s="4" t="s">
        <v>41</v>
      </c>
      <c r="F72" s="2">
        <v>3</v>
      </c>
      <c r="G72" s="5">
        <v>1277</v>
      </c>
      <c r="H72" s="5">
        <v>3831</v>
      </c>
      <c r="I72" s="5">
        <v>689.57999999999993</v>
      </c>
      <c r="J72" s="5">
        <v>85</v>
      </c>
      <c r="K72" s="6">
        <v>20</v>
      </c>
      <c r="L72" s="5">
        <v>2290.2199999999998</v>
      </c>
      <c r="M72" s="2" t="s">
        <v>52</v>
      </c>
      <c r="N72" s="2">
        <v>4.3</v>
      </c>
      <c r="O72" s="2" t="s">
        <v>46</v>
      </c>
      <c r="P72" s="7">
        <v>61944.62</v>
      </c>
      <c r="Q72" s="8">
        <v>59.78</v>
      </c>
    </row>
    <row r="73" spans="1:17" x14ac:dyDescent="0.3">
      <c r="A73" s="9" t="s">
        <v>122</v>
      </c>
      <c r="B73" s="10">
        <v>45917</v>
      </c>
      <c r="C73" s="9" t="s">
        <v>36</v>
      </c>
      <c r="D73" s="9" t="s">
        <v>19</v>
      </c>
      <c r="E73" s="11" t="s">
        <v>43</v>
      </c>
      <c r="F73" s="9">
        <v>32</v>
      </c>
      <c r="G73" s="7">
        <v>1154</v>
      </c>
      <c r="H73" s="7">
        <v>36928</v>
      </c>
      <c r="I73" s="7">
        <v>6647.04</v>
      </c>
      <c r="J73" s="7">
        <v>474</v>
      </c>
      <c r="K73" s="12">
        <v>15</v>
      </c>
      <c r="L73" s="7">
        <v>24267.759999999998</v>
      </c>
      <c r="M73" s="9" t="s">
        <v>52</v>
      </c>
      <c r="N73" s="9">
        <v>4.3</v>
      </c>
      <c r="O73" s="9" t="s">
        <v>59</v>
      </c>
      <c r="P73" s="7">
        <v>58349.39</v>
      </c>
      <c r="Q73" s="13">
        <v>65.72</v>
      </c>
    </row>
    <row r="74" spans="1:17" x14ac:dyDescent="0.3">
      <c r="A74" s="2" t="s">
        <v>123</v>
      </c>
      <c r="B74" s="3">
        <v>45893</v>
      </c>
      <c r="C74" s="2" t="s">
        <v>29</v>
      </c>
      <c r="D74" s="2" t="s">
        <v>24</v>
      </c>
      <c r="E74" s="4" t="s">
        <v>51</v>
      </c>
      <c r="F74" s="2">
        <v>47</v>
      </c>
      <c r="G74" s="5">
        <v>1117</v>
      </c>
      <c r="H74" s="5">
        <v>52499</v>
      </c>
      <c r="I74" s="5">
        <v>9449.82</v>
      </c>
      <c r="J74" s="5">
        <v>325</v>
      </c>
      <c r="K74" s="6">
        <v>10</v>
      </c>
      <c r="L74" s="5">
        <v>37474.28</v>
      </c>
      <c r="M74" s="2" t="s">
        <v>21</v>
      </c>
      <c r="N74" s="2">
        <v>4.5999999999999996</v>
      </c>
      <c r="O74" s="2" t="s">
        <v>53</v>
      </c>
      <c r="P74" s="7">
        <v>43947.25</v>
      </c>
      <c r="Q74" s="8">
        <v>71.38</v>
      </c>
    </row>
    <row r="75" spans="1:17" x14ac:dyDescent="0.3">
      <c r="A75" s="9" t="s">
        <v>124</v>
      </c>
      <c r="B75" s="10">
        <v>45905</v>
      </c>
      <c r="C75" s="9" t="s">
        <v>55</v>
      </c>
      <c r="D75" s="9" t="s">
        <v>24</v>
      </c>
      <c r="E75" s="11" t="s">
        <v>41</v>
      </c>
      <c r="F75" s="9">
        <v>18</v>
      </c>
      <c r="G75" s="7">
        <v>1015</v>
      </c>
      <c r="H75" s="7">
        <v>18270</v>
      </c>
      <c r="I75" s="7">
        <v>3288.6</v>
      </c>
      <c r="J75" s="7">
        <v>280</v>
      </c>
      <c r="K75" s="12">
        <v>5</v>
      </c>
      <c r="L75" s="7">
        <v>13787.9</v>
      </c>
      <c r="M75" s="9" t="s">
        <v>26</v>
      </c>
      <c r="N75" s="9">
        <v>3.6</v>
      </c>
      <c r="O75" s="9" t="s">
        <v>59</v>
      </c>
      <c r="P75" s="7">
        <v>44654.94</v>
      </c>
      <c r="Q75" s="13">
        <v>75.47</v>
      </c>
    </row>
    <row r="76" spans="1:17" x14ac:dyDescent="0.3">
      <c r="A76" s="2" t="s">
        <v>125</v>
      </c>
      <c r="B76" s="3">
        <v>45782</v>
      </c>
      <c r="C76" s="2" t="s">
        <v>55</v>
      </c>
      <c r="D76" s="2" t="s">
        <v>24</v>
      </c>
      <c r="E76" s="4" t="s">
        <v>33</v>
      </c>
      <c r="F76" s="2">
        <v>2</v>
      </c>
      <c r="G76" s="5">
        <v>1103</v>
      </c>
      <c r="H76" s="5">
        <v>2206</v>
      </c>
      <c r="I76" s="5">
        <v>397.08</v>
      </c>
      <c r="J76" s="5">
        <v>231</v>
      </c>
      <c r="K76" s="6">
        <v>10</v>
      </c>
      <c r="L76" s="5">
        <v>1357.32</v>
      </c>
      <c r="M76" s="2" t="s">
        <v>26</v>
      </c>
      <c r="N76" s="2">
        <v>4</v>
      </c>
      <c r="O76" s="2" t="s">
        <v>34</v>
      </c>
      <c r="P76" s="7">
        <v>45112.03</v>
      </c>
      <c r="Q76" s="8">
        <v>61.53</v>
      </c>
    </row>
    <row r="77" spans="1:17" x14ac:dyDescent="0.3">
      <c r="A77" s="9" t="s">
        <v>126</v>
      </c>
      <c r="B77" s="10">
        <v>45790</v>
      </c>
      <c r="C77" s="9" t="s">
        <v>36</v>
      </c>
      <c r="D77" s="9" t="s">
        <v>40</v>
      </c>
      <c r="E77" s="11" t="s">
        <v>41</v>
      </c>
      <c r="F77" s="9">
        <v>45</v>
      </c>
      <c r="G77" s="7">
        <v>341</v>
      </c>
      <c r="H77" s="7">
        <v>15345</v>
      </c>
      <c r="I77" s="7">
        <v>2762.1</v>
      </c>
      <c r="J77" s="7">
        <v>147</v>
      </c>
      <c r="K77" s="12">
        <v>20</v>
      </c>
      <c r="L77" s="7">
        <v>9366.9</v>
      </c>
      <c r="M77" s="9" t="s">
        <v>26</v>
      </c>
      <c r="N77" s="9">
        <v>4</v>
      </c>
      <c r="O77" s="9" t="s">
        <v>34</v>
      </c>
      <c r="P77" s="7">
        <v>13549.4</v>
      </c>
      <c r="Q77" s="13">
        <v>61.04</v>
      </c>
    </row>
    <row r="78" spans="1:17" x14ac:dyDescent="0.3">
      <c r="A78" s="2" t="s">
        <v>127</v>
      </c>
      <c r="B78" s="3">
        <v>45701</v>
      </c>
      <c r="C78" s="2" t="s">
        <v>29</v>
      </c>
      <c r="D78" s="2" t="s">
        <v>24</v>
      </c>
      <c r="E78" s="4" t="s">
        <v>37</v>
      </c>
      <c r="F78" s="2">
        <v>36</v>
      </c>
      <c r="G78" s="5">
        <v>973</v>
      </c>
      <c r="H78" s="5">
        <v>35028</v>
      </c>
      <c r="I78" s="5">
        <v>6305.04</v>
      </c>
      <c r="J78" s="5">
        <v>279</v>
      </c>
      <c r="K78" s="6">
        <v>15</v>
      </c>
      <c r="L78" s="5">
        <v>23189.759999999998</v>
      </c>
      <c r="M78" s="2" t="s">
        <v>21</v>
      </c>
      <c r="N78" s="2">
        <v>4.4000000000000004</v>
      </c>
      <c r="O78" s="2" t="s">
        <v>44</v>
      </c>
      <c r="P78" s="7">
        <v>44682.67</v>
      </c>
      <c r="Q78" s="8">
        <v>66.2</v>
      </c>
    </row>
    <row r="79" spans="1:17" x14ac:dyDescent="0.3">
      <c r="A79" s="9" t="s">
        <v>128</v>
      </c>
      <c r="B79" s="10">
        <v>45666</v>
      </c>
      <c r="C79" s="9" t="s">
        <v>18</v>
      </c>
      <c r="D79" s="9" t="s">
        <v>40</v>
      </c>
      <c r="E79" s="11" t="s">
        <v>30</v>
      </c>
      <c r="F79" s="9">
        <v>26</v>
      </c>
      <c r="G79" s="7">
        <v>324</v>
      </c>
      <c r="H79" s="7">
        <v>8424</v>
      </c>
      <c r="I79" s="7">
        <v>1516.32</v>
      </c>
      <c r="J79" s="7">
        <v>292</v>
      </c>
      <c r="K79" s="12">
        <v>10</v>
      </c>
      <c r="L79" s="7">
        <v>5773.2800000000007</v>
      </c>
      <c r="M79" s="9" t="s">
        <v>21</v>
      </c>
      <c r="N79" s="9">
        <v>4.2</v>
      </c>
      <c r="O79" s="9" t="s">
        <v>79</v>
      </c>
      <c r="P79" s="7">
        <v>13684.11</v>
      </c>
      <c r="Q79" s="13">
        <v>68.53</v>
      </c>
    </row>
    <row r="80" spans="1:17" x14ac:dyDescent="0.3">
      <c r="A80" s="2" t="s">
        <v>129</v>
      </c>
      <c r="B80" s="3">
        <v>45941</v>
      </c>
      <c r="C80" s="2" t="s">
        <v>39</v>
      </c>
      <c r="D80" s="2" t="s">
        <v>40</v>
      </c>
      <c r="E80" s="4" t="s">
        <v>43</v>
      </c>
      <c r="F80" s="2">
        <v>48</v>
      </c>
      <c r="G80" s="5">
        <v>481</v>
      </c>
      <c r="H80" s="5">
        <v>23088</v>
      </c>
      <c r="I80" s="5">
        <v>4155.84</v>
      </c>
      <c r="J80" s="5">
        <v>188</v>
      </c>
      <c r="K80" s="6">
        <v>10</v>
      </c>
      <c r="L80" s="5">
        <v>16435.36</v>
      </c>
      <c r="M80" s="2" t="s">
        <v>52</v>
      </c>
      <c r="N80" s="2">
        <v>4.4000000000000004</v>
      </c>
      <c r="O80" s="2" t="s">
        <v>27</v>
      </c>
      <c r="P80" s="7">
        <v>15274.35</v>
      </c>
      <c r="Q80" s="8">
        <v>71.19</v>
      </c>
    </row>
    <row r="81" spans="1:17" x14ac:dyDescent="0.3">
      <c r="A81" s="9" t="s">
        <v>130</v>
      </c>
      <c r="B81" s="10">
        <v>45814</v>
      </c>
      <c r="C81" s="9" t="s">
        <v>36</v>
      </c>
      <c r="D81" s="9" t="s">
        <v>32</v>
      </c>
      <c r="E81" s="11" t="s">
        <v>58</v>
      </c>
      <c r="F81" s="9">
        <v>47</v>
      </c>
      <c r="G81" s="7">
        <v>798</v>
      </c>
      <c r="H81" s="7">
        <v>37506</v>
      </c>
      <c r="I81" s="7">
        <v>6751.08</v>
      </c>
      <c r="J81" s="7">
        <v>440</v>
      </c>
      <c r="K81" s="12">
        <v>10</v>
      </c>
      <c r="L81" s="7">
        <v>26564.32</v>
      </c>
      <c r="M81" s="9" t="s">
        <v>26</v>
      </c>
      <c r="N81" s="9">
        <v>4.5</v>
      </c>
      <c r="O81" s="9" t="s">
        <v>63</v>
      </c>
      <c r="P81" s="7">
        <v>43246.81</v>
      </c>
      <c r="Q81" s="13">
        <v>70.83</v>
      </c>
    </row>
    <row r="82" spans="1:17" x14ac:dyDescent="0.3">
      <c r="A82" s="2" t="s">
        <v>131</v>
      </c>
      <c r="B82" s="3">
        <v>46011</v>
      </c>
      <c r="C82" s="2" t="s">
        <v>29</v>
      </c>
      <c r="D82" s="2" t="s">
        <v>32</v>
      </c>
      <c r="E82" s="4" t="s">
        <v>30</v>
      </c>
      <c r="F82" s="2">
        <v>48</v>
      </c>
      <c r="G82" s="5">
        <v>947</v>
      </c>
      <c r="H82" s="5">
        <v>45456</v>
      </c>
      <c r="I82" s="5">
        <v>8182.08</v>
      </c>
      <c r="J82" s="5">
        <v>439</v>
      </c>
      <c r="K82" s="6">
        <v>10</v>
      </c>
      <c r="L82" s="5">
        <v>32289.32</v>
      </c>
      <c r="M82" s="2" t="s">
        <v>21</v>
      </c>
      <c r="N82" s="2">
        <v>4.2</v>
      </c>
      <c r="O82" s="2" t="s">
        <v>46</v>
      </c>
      <c r="P82" s="7">
        <v>43575.59</v>
      </c>
      <c r="Q82" s="8">
        <v>71.03</v>
      </c>
    </row>
    <row r="83" spans="1:17" x14ac:dyDescent="0.3">
      <c r="A83" s="9" t="s">
        <v>132</v>
      </c>
      <c r="B83" s="10">
        <v>45926</v>
      </c>
      <c r="C83" s="9" t="s">
        <v>39</v>
      </c>
      <c r="D83" s="9" t="s">
        <v>40</v>
      </c>
      <c r="E83" s="11" t="s">
        <v>58</v>
      </c>
      <c r="F83" s="9">
        <v>13</v>
      </c>
      <c r="G83" s="7">
        <v>351</v>
      </c>
      <c r="H83" s="7">
        <v>4563</v>
      </c>
      <c r="I83" s="7">
        <v>821.33999999999992</v>
      </c>
      <c r="J83" s="7">
        <v>57</v>
      </c>
      <c r="K83" s="12">
        <v>5</v>
      </c>
      <c r="L83" s="7">
        <v>3456.51</v>
      </c>
      <c r="M83" s="9" t="s">
        <v>52</v>
      </c>
      <c r="N83" s="9">
        <v>3.4</v>
      </c>
      <c r="O83" s="9" t="s">
        <v>59</v>
      </c>
      <c r="P83" s="7">
        <v>16557.560000000001</v>
      </c>
      <c r="Q83" s="13">
        <v>75.75</v>
      </c>
    </row>
    <row r="84" spans="1:17" x14ac:dyDescent="0.3">
      <c r="A84" s="2" t="s">
        <v>133</v>
      </c>
      <c r="B84" s="3">
        <v>46020</v>
      </c>
      <c r="C84" s="2" t="s">
        <v>39</v>
      </c>
      <c r="D84" s="2" t="s">
        <v>32</v>
      </c>
      <c r="E84" s="4" t="s">
        <v>20</v>
      </c>
      <c r="F84" s="2">
        <v>3</v>
      </c>
      <c r="G84" s="5">
        <v>727</v>
      </c>
      <c r="H84" s="5">
        <v>2181</v>
      </c>
      <c r="I84" s="5">
        <v>392.58</v>
      </c>
      <c r="J84" s="5">
        <v>114</v>
      </c>
      <c r="K84" s="6">
        <v>20</v>
      </c>
      <c r="L84" s="5">
        <v>1238.22</v>
      </c>
      <c r="M84" s="2" t="s">
        <v>52</v>
      </c>
      <c r="N84" s="2">
        <v>4.4000000000000004</v>
      </c>
      <c r="O84" s="2" t="s">
        <v>46</v>
      </c>
      <c r="P84" s="7">
        <v>35406.559999999998</v>
      </c>
      <c r="Q84" s="8">
        <v>56.77</v>
      </c>
    </row>
    <row r="85" spans="1:17" x14ac:dyDescent="0.3">
      <c r="A85" s="9" t="s">
        <v>134</v>
      </c>
      <c r="B85" s="10">
        <v>45984</v>
      </c>
      <c r="C85" s="9" t="s">
        <v>55</v>
      </c>
      <c r="D85" s="9" t="s">
        <v>19</v>
      </c>
      <c r="E85" s="11" t="s">
        <v>25</v>
      </c>
      <c r="F85" s="9">
        <v>37</v>
      </c>
      <c r="G85" s="7">
        <v>1245</v>
      </c>
      <c r="H85" s="7">
        <v>46065</v>
      </c>
      <c r="I85" s="7">
        <v>8291.6999999999989</v>
      </c>
      <c r="J85" s="7">
        <v>144</v>
      </c>
      <c r="K85" s="12">
        <v>15</v>
      </c>
      <c r="L85" s="7">
        <v>30719.55</v>
      </c>
      <c r="M85" s="9" t="s">
        <v>52</v>
      </c>
      <c r="N85" s="9">
        <v>3.9</v>
      </c>
      <c r="O85" s="9" t="s">
        <v>22</v>
      </c>
      <c r="P85" s="7">
        <v>65802.27</v>
      </c>
      <c r="Q85" s="13">
        <v>66.69</v>
      </c>
    </row>
    <row r="86" spans="1:17" x14ac:dyDescent="0.3">
      <c r="A86" s="2" t="s">
        <v>135</v>
      </c>
      <c r="B86" s="3">
        <v>45684</v>
      </c>
      <c r="C86" s="2" t="s">
        <v>36</v>
      </c>
      <c r="D86" s="2" t="s">
        <v>24</v>
      </c>
      <c r="E86" s="4" t="s">
        <v>58</v>
      </c>
      <c r="F86" s="2">
        <v>5</v>
      </c>
      <c r="G86" s="5">
        <v>1055</v>
      </c>
      <c r="H86" s="5">
        <v>5275</v>
      </c>
      <c r="I86" s="5">
        <v>949.5</v>
      </c>
      <c r="J86" s="5">
        <v>401</v>
      </c>
      <c r="K86" s="6">
        <v>15</v>
      </c>
      <c r="L86" s="5">
        <v>3133.25</v>
      </c>
      <c r="M86" s="2" t="s">
        <v>26</v>
      </c>
      <c r="N86" s="2">
        <v>4.2</v>
      </c>
      <c r="O86" s="2" t="s">
        <v>79</v>
      </c>
      <c r="P86" s="7">
        <v>45289.279999999999</v>
      </c>
      <c r="Q86" s="8">
        <v>59.4</v>
      </c>
    </row>
    <row r="87" spans="1:17" x14ac:dyDescent="0.3">
      <c r="A87" s="9" t="s">
        <v>136</v>
      </c>
      <c r="B87" s="10">
        <v>45685</v>
      </c>
      <c r="C87" s="9" t="s">
        <v>29</v>
      </c>
      <c r="D87" s="9" t="s">
        <v>32</v>
      </c>
      <c r="E87" s="11" t="s">
        <v>41</v>
      </c>
      <c r="F87" s="9">
        <v>20</v>
      </c>
      <c r="G87" s="7">
        <v>743</v>
      </c>
      <c r="H87" s="7">
        <v>14860</v>
      </c>
      <c r="I87" s="7">
        <v>2674.8</v>
      </c>
      <c r="J87" s="7">
        <v>263</v>
      </c>
      <c r="K87" s="12">
        <v>5</v>
      </c>
      <c r="L87" s="7">
        <v>11179.2</v>
      </c>
      <c r="M87" s="9" t="s">
        <v>26</v>
      </c>
      <c r="N87" s="9">
        <v>4.0999999999999996</v>
      </c>
      <c r="O87" s="9" t="s">
        <v>79</v>
      </c>
      <c r="P87" s="7">
        <v>34868.67</v>
      </c>
      <c r="Q87" s="13">
        <v>75.23</v>
      </c>
    </row>
    <row r="88" spans="1:17" x14ac:dyDescent="0.3">
      <c r="A88" s="2" t="s">
        <v>137</v>
      </c>
      <c r="B88" s="3">
        <v>45968</v>
      </c>
      <c r="C88" s="2" t="s">
        <v>39</v>
      </c>
      <c r="D88" s="2" t="s">
        <v>32</v>
      </c>
      <c r="E88" s="4" t="s">
        <v>75</v>
      </c>
      <c r="F88" s="2">
        <v>25</v>
      </c>
      <c r="G88" s="5">
        <v>930</v>
      </c>
      <c r="H88" s="5">
        <v>23250</v>
      </c>
      <c r="I88" s="5">
        <v>4185</v>
      </c>
      <c r="J88" s="5">
        <v>269</v>
      </c>
      <c r="K88" s="6">
        <v>15</v>
      </c>
      <c r="L88" s="5">
        <v>15308.5</v>
      </c>
      <c r="M88" s="2" t="s">
        <v>52</v>
      </c>
      <c r="N88" s="2">
        <v>4.7</v>
      </c>
      <c r="O88" s="2" t="s">
        <v>22</v>
      </c>
      <c r="P88" s="7">
        <v>37452.57</v>
      </c>
      <c r="Q88" s="8">
        <v>65.84</v>
      </c>
    </row>
    <row r="89" spans="1:17" x14ac:dyDescent="0.3">
      <c r="A89" s="9" t="s">
        <v>138</v>
      </c>
      <c r="B89" s="10">
        <v>45814</v>
      </c>
      <c r="C89" s="9" t="s">
        <v>39</v>
      </c>
      <c r="D89" s="9" t="s">
        <v>19</v>
      </c>
      <c r="E89" s="11" t="s">
        <v>41</v>
      </c>
      <c r="F89" s="9">
        <v>48</v>
      </c>
      <c r="G89" s="7">
        <v>1150</v>
      </c>
      <c r="H89" s="7">
        <v>55200</v>
      </c>
      <c r="I89" s="7">
        <v>9936</v>
      </c>
      <c r="J89" s="7">
        <v>388</v>
      </c>
      <c r="K89" s="12">
        <v>5</v>
      </c>
      <c r="L89" s="7">
        <v>42116</v>
      </c>
      <c r="M89" s="9" t="s">
        <v>21</v>
      </c>
      <c r="N89" s="9">
        <v>3.4</v>
      </c>
      <c r="O89" s="9" t="s">
        <v>63</v>
      </c>
      <c r="P89" s="7">
        <v>61542.47</v>
      </c>
      <c r="Q89" s="13">
        <v>76.3</v>
      </c>
    </row>
    <row r="90" spans="1:17" x14ac:dyDescent="0.3">
      <c r="A90" s="2" t="s">
        <v>139</v>
      </c>
      <c r="B90" s="3">
        <v>45699</v>
      </c>
      <c r="C90" s="2" t="s">
        <v>29</v>
      </c>
      <c r="D90" s="2" t="s">
        <v>32</v>
      </c>
      <c r="E90" s="4" t="s">
        <v>51</v>
      </c>
      <c r="F90" s="2">
        <v>36</v>
      </c>
      <c r="G90" s="5">
        <v>738</v>
      </c>
      <c r="H90" s="5">
        <v>26568</v>
      </c>
      <c r="I90" s="5">
        <v>4782.24</v>
      </c>
      <c r="J90" s="5">
        <v>402</v>
      </c>
      <c r="K90" s="6">
        <v>5</v>
      </c>
      <c r="L90" s="5">
        <v>20055.36</v>
      </c>
      <c r="M90" s="2" t="s">
        <v>26</v>
      </c>
      <c r="N90" s="2">
        <v>3.8</v>
      </c>
      <c r="O90" s="2" t="s">
        <v>44</v>
      </c>
      <c r="P90" s="7">
        <v>34572.129999999997</v>
      </c>
      <c r="Q90" s="8">
        <v>75.489999999999995</v>
      </c>
    </row>
    <row r="91" spans="1:17" x14ac:dyDescent="0.3">
      <c r="A91" s="9" t="s">
        <v>140</v>
      </c>
      <c r="B91" s="10">
        <v>45962</v>
      </c>
      <c r="C91" s="9" t="s">
        <v>55</v>
      </c>
      <c r="D91" s="9" t="s">
        <v>40</v>
      </c>
      <c r="E91" s="11" t="s">
        <v>25</v>
      </c>
      <c r="F91" s="9">
        <v>15</v>
      </c>
      <c r="G91" s="7">
        <v>347</v>
      </c>
      <c r="H91" s="7">
        <v>5205</v>
      </c>
      <c r="I91" s="7">
        <v>936.9</v>
      </c>
      <c r="J91" s="7">
        <v>86</v>
      </c>
      <c r="K91" s="12">
        <v>10</v>
      </c>
      <c r="L91" s="7">
        <v>3661.6</v>
      </c>
      <c r="M91" s="9" t="s">
        <v>21</v>
      </c>
      <c r="N91" s="9">
        <v>4.7</v>
      </c>
      <c r="O91" s="9" t="s">
        <v>22</v>
      </c>
      <c r="P91" s="7">
        <v>13723.45</v>
      </c>
      <c r="Q91" s="13">
        <v>70.349999999999994</v>
      </c>
    </row>
    <row r="92" spans="1:17" x14ac:dyDescent="0.3">
      <c r="A92" s="2" t="s">
        <v>141</v>
      </c>
      <c r="B92" s="3">
        <v>46009</v>
      </c>
      <c r="C92" s="2" t="s">
        <v>29</v>
      </c>
      <c r="D92" s="2" t="s">
        <v>40</v>
      </c>
      <c r="E92" s="4" t="s">
        <v>41</v>
      </c>
      <c r="F92" s="2">
        <v>43</v>
      </c>
      <c r="G92" s="5">
        <v>301</v>
      </c>
      <c r="H92" s="5">
        <v>12943</v>
      </c>
      <c r="I92" s="5">
        <v>2329.7399999999998</v>
      </c>
      <c r="J92" s="5">
        <v>381</v>
      </c>
      <c r="K92" s="6">
        <v>15</v>
      </c>
      <c r="L92" s="5">
        <v>8290.81</v>
      </c>
      <c r="M92" s="2" t="s">
        <v>26</v>
      </c>
      <c r="N92" s="2">
        <v>4.0999999999999996</v>
      </c>
      <c r="O92" s="2" t="s">
        <v>46</v>
      </c>
      <c r="P92" s="7">
        <v>14545.95</v>
      </c>
      <c r="Q92" s="8">
        <v>64.06</v>
      </c>
    </row>
    <row r="93" spans="1:17" x14ac:dyDescent="0.3">
      <c r="A93" s="9" t="s">
        <v>142</v>
      </c>
      <c r="B93" s="10">
        <v>45734</v>
      </c>
      <c r="C93" s="9" t="s">
        <v>36</v>
      </c>
      <c r="D93" s="9" t="s">
        <v>32</v>
      </c>
      <c r="E93" s="11" t="s">
        <v>58</v>
      </c>
      <c r="F93" s="9">
        <v>4</v>
      </c>
      <c r="G93" s="7">
        <v>784</v>
      </c>
      <c r="H93" s="7">
        <v>3136</v>
      </c>
      <c r="I93" s="7">
        <v>564.48</v>
      </c>
      <c r="J93" s="7">
        <v>341</v>
      </c>
      <c r="K93" s="12">
        <v>10</v>
      </c>
      <c r="L93" s="7">
        <v>1916.92</v>
      </c>
      <c r="M93" s="9" t="s">
        <v>21</v>
      </c>
      <c r="N93" s="9">
        <v>4.5</v>
      </c>
      <c r="O93" s="9" t="s">
        <v>66</v>
      </c>
      <c r="P93" s="7">
        <v>43868.41</v>
      </c>
      <c r="Q93" s="13">
        <v>61.13</v>
      </c>
    </row>
    <row r="94" spans="1:17" x14ac:dyDescent="0.3">
      <c r="A94" s="2" t="s">
        <v>143</v>
      </c>
      <c r="B94" s="3">
        <v>45805</v>
      </c>
      <c r="C94" s="2" t="s">
        <v>55</v>
      </c>
      <c r="D94" s="2" t="s">
        <v>19</v>
      </c>
      <c r="E94" s="4" t="s">
        <v>37</v>
      </c>
      <c r="F94" s="2">
        <v>45</v>
      </c>
      <c r="G94" s="5">
        <v>1255</v>
      </c>
      <c r="H94" s="5">
        <v>56475</v>
      </c>
      <c r="I94" s="5">
        <v>10165.5</v>
      </c>
      <c r="J94" s="5">
        <v>302</v>
      </c>
      <c r="K94" s="6">
        <v>15</v>
      </c>
      <c r="L94" s="5">
        <v>37536.25</v>
      </c>
      <c r="M94" s="2" t="s">
        <v>52</v>
      </c>
      <c r="N94" s="2">
        <v>4</v>
      </c>
      <c r="O94" s="2" t="s">
        <v>34</v>
      </c>
      <c r="P94" s="7">
        <v>58189.38</v>
      </c>
      <c r="Q94" s="8">
        <v>66.47</v>
      </c>
    </row>
    <row r="95" spans="1:17" x14ac:dyDescent="0.3">
      <c r="A95" s="9" t="s">
        <v>144</v>
      </c>
      <c r="B95" s="10">
        <v>45882</v>
      </c>
      <c r="C95" s="9" t="s">
        <v>18</v>
      </c>
      <c r="D95" s="9" t="s">
        <v>19</v>
      </c>
      <c r="E95" s="11" t="s">
        <v>43</v>
      </c>
      <c r="F95" s="9">
        <v>48</v>
      </c>
      <c r="G95" s="7">
        <v>1265</v>
      </c>
      <c r="H95" s="7">
        <v>60720</v>
      </c>
      <c r="I95" s="7">
        <v>10929.6</v>
      </c>
      <c r="J95" s="7">
        <v>167</v>
      </c>
      <c r="K95" s="12">
        <v>20</v>
      </c>
      <c r="L95" s="7">
        <v>37479.4</v>
      </c>
      <c r="M95" s="9" t="s">
        <v>52</v>
      </c>
      <c r="N95" s="9">
        <v>3.1</v>
      </c>
      <c r="O95" s="9" t="s">
        <v>53</v>
      </c>
      <c r="P95" s="7">
        <v>58453.17</v>
      </c>
      <c r="Q95" s="13">
        <v>61.72</v>
      </c>
    </row>
    <row r="96" spans="1:17" x14ac:dyDescent="0.3">
      <c r="A96" s="2" t="s">
        <v>145</v>
      </c>
      <c r="B96" s="3">
        <v>46003</v>
      </c>
      <c r="C96" s="2" t="s">
        <v>39</v>
      </c>
      <c r="D96" s="2" t="s">
        <v>19</v>
      </c>
      <c r="E96" s="4" t="s">
        <v>20</v>
      </c>
      <c r="F96" s="2">
        <v>37</v>
      </c>
      <c r="G96" s="5">
        <v>1120</v>
      </c>
      <c r="H96" s="5">
        <v>41440</v>
      </c>
      <c r="I96" s="5">
        <v>7459.2</v>
      </c>
      <c r="J96" s="5">
        <v>276</v>
      </c>
      <c r="K96" s="6">
        <v>5</v>
      </c>
      <c r="L96" s="5">
        <v>31632.799999999999</v>
      </c>
      <c r="M96" s="2" t="s">
        <v>52</v>
      </c>
      <c r="N96" s="2">
        <v>4</v>
      </c>
      <c r="O96" s="2" t="s">
        <v>46</v>
      </c>
      <c r="P96" s="7">
        <v>57677.58</v>
      </c>
      <c r="Q96" s="8">
        <v>76.33</v>
      </c>
    </row>
    <row r="97" spans="1:17" x14ac:dyDescent="0.3">
      <c r="A97" s="9" t="s">
        <v>146</v>
      </c>
      <c r="B97" s="10">
        <v>45800</v>
      </c>
      <c r="C97" s="9" t="s">
        <v>29</v>
      </c>
      <c r="D97" s="9" t="s">
        <v>24</v>
      </c>
      <c r="E97" s="11" t="s">
        <v>37</v>
      </c>
      <c r="F97" s="9">
        <v>6</v>
      </c>
      <c r="G97" s="7">
        <v>1090</v>
      </c>
      <c r="H97" s="7">
        <v>6540</v>
      </c>
      <c r="I97" s="7">
        <v>1177.2</v>
      </c>
      <c r="J97" s="7">
        <v>393</v>
      </c>
      <c r="K97" s="12">
        <v>10</v>
      </c>
      <c r="L97" s="7">
        <v>4315.8</v>
      </c>
      <c r="M97" s="9" t="s">
        <v>52</v>
      </c>
      <c r="N97" s="9">
        <v>3.7</v>
      </c>
      <c r="O97" s="9" t="s">
        <v>34</v>
      </c>
      <c r="P97" s="7">
        <v>43889.96</v>
      </c>
      <c r="Q97" s="13">
        <v>65.989999999999995</v>
      </c>
    </row>
    <row r="98" spans="1:17" x14ac:dyDescent="0.3">
      <c r="A98" s="2" t="s">
        <v>147</v>
      </c>
      <c r="B98" s="3">
        <v>45711</v>
      </c>
      <c r="C98" s="2" t="s">
        <v>29</v>
      </c>
      <c r="D98" s="2" t="s">
        <v>40</v>
      </c>
      <c r="E98" s="4" t="s">
        <v>43</v>
      </c>
      <c r="F98" s="2">
        <v>45</v>
      </c>
      <c r="G98" s="5">
        <v>453</v>
      </c>
      <c r="H98" s="5">
        <v>20385</v>
      </c>
      <c r="I98" s="5">
        <v>3669.3</v>
      </c>
      <c r="J98" s="5">
        <v>466</v>
      </c>
      <c r="K98" s="6">
        <v>10</v>
      </c>
      <c r="L98" s="5">
        <v>14211.2</v>
      </c>
      <c r="M98" s="2" t="s">
        <v>21</v>
      </c>
      <c r="N98" s="2">
        <v>4.9000000000000004</v>
      </c>
      <c r="O98" s="2" t="s">
        <v>44</v>
      </c>
      <c r="P98" s="7">
        <v>16708.060000000001</v>
      </c>
      <c r="Q98" s="8">
        <v>69.709999999999994</v>
      </c>
    </row>
    <row r="99" spans="1:17" x14ac:dyDescent="0.3">
      <c r="A99" s="9" t="s">
        <v>148</v>
      </c>
      <c r="B99" s="10">
        <v>45939</v>
      </c>
      <c r="C99" s="9" t="s">
        <v>18</v>
      </c>
      <c r="D99" s="9" t="s">
        <v>24</v>
      </c>
      <c r="E99" s="11" t="s">
        <v>58</v>
      </c>
      <c r="F99" s="9">
        <v>21</v>
      </c>
      <c r="G99" s="7">
        <v>979</v>
      </c>
      <c r="H99" s="7">
        <v>20559</v>
      </c>
      <c r="I99" s="7">
        <v>3700.62</v>
      </c>
      <c r="J99" s="7">
        <v>256</v>
      </c>
      <c r="K99" s="12">
        <v>10</v>
      </c>
      <c r="L99" s="7">
        <v>14546.48</v>
      </c>
      <c r="M99" s="9" t="s">
        <v>26</v>
      </c>
      <c r="N99" s="9">
        <v>4.9000000000000004</v>
      </c>
      <c r="O99" s="9" t="s">
        <v>27</v>
      </c>
      <c r="P99" s="7">
        <v>56345.54</v>
      </c>
      <c r="Q99" s="13">
        <v>70.75</v>
      </c>
    </row>
    <row r="100" spans="1:17" x14ac:dyDescent="0.3">
      <c r="A100" s="2" t="s">
        <v>149</v>
      </c>
      <c r="B100" s="3">
        <v>45921</v>
      </c>
      <c r="C100" s="2" t="s">
        <v>18</v>
      </c>
      <c r="D100" s="2" t="s">
        <v>24</v>
      </c>
      <c r="E100" s="4" t="s">
        <v>43</v>
      </c>
      <c r="F100" s="2">
        <v>4</v>
      </c>
      <c r="G100" s="5">
        <v>946</v>
      </c>
      <c r="H100" s="5">
        <v>3784</v>
      </c>
      <c r="I100" s="5">
        <v>681.12</v>
      </c>
      <c r="J100" s="5">
        <v>305</v>
      </c>
      <c r="K100" s="6">
        <v>20</v>
      </c>
      <c r="L100" s="5">
        <v>2041.08</v>
      </c>
      <c r="M100" s="2" t="s">
        <v>52</v>
      </c>
      <c r="N100" s="2">
        <v>4.2</v>
      </c>
      <c r="O100" s="2" t="s">
        <v>59</v>
      </c>
      <c r="P100" s="7">
        <v>53324.9</v>
      </c>
      <c r="Q100" s="8">
        <v>53.94</v>
      </c>
    </row>
    <row r="101" spans="1:17" x14ac:dyDescent="0.3">
      <c r="A101" s="9" t="s">
        <v>150</v>
      </c>
      <c r="B101" s="10">
        <v>45978</v>
      </c>
      <c r="C101" s="9" t="s">
        <v>55</v>
      </c>
      <c r="D101" s="9" t="s">
        <v>19</v>
      </c>
      <c r="E101" s="11" t="s">
        <v>30</v>
      </c>
      <c r="F101" s="9">
        <v>18</v>
      </c>
      <c r="G101" s="7">
        <v>1381</v>
      </c>
      <c r="H101" s="7">
        <v>24858</v>
      </c>
      <c r="I101" s="7">
        <v>4474.4399999999996</v>
      </c>
      <c r="J101" s="7">
        <v>407</v>
      </c>
      <c r="K101" s="12">
        <v>5</v>
      </c>
      <c r="L101" s="7">
        <v>18733.66</v>
      </c>
      <c r="M101" s="9" t="s">
        <v>52</v>
      </c>
      <c r="N101" s="9">
        <v>3.9</v>
      </c>
      <c r="O101" s="9" t="s">
        <v>22</v>
      </c>
      <c r="P101" s="7">
        <v>58174.44</v>
      </c>
      <c r="Q101" s="13">
        <v>75.36</v>
      </c>
    </row>
    <row r="102" spans="1:17" x14ac:dyDescent="0.3">
      <c r="A102" s="2" t="s">
        <v>151</v>
      </c>
      <c r="B102" s="3">
        <v>45906</v>
      </c>
      <c r="C102" s="2" t="s">
        <v>18</v>
      </c>
      <c r="D102" s="2" t="s">
        <v>19</v>
      </c>
      <c r="E102" s="4" t="s">
        <v>41</v>
      </c>
      <c r="F102" s="2">
        <v>16</v>
      </c>
      <c r="G102" s="5">
        <v>1181</v>
      </c>
      <c r="H102" s="5">
        <v>18896</v>
      </c>
      <c r="I102" s="5">
        <v>3401.28</v>
      </c>
      <c r="J102" s="5">
        <v>258</v>
      </c>
      <c r="K102" s="6">
        <v>10</v>
      </c>
      <c r="L102" s="5">
        <v>13347.12</v>
      </c>
      <c r="M102" s="2" t="s">
        <v>21</v>
      </c>
      <c r="N102" s="2">
        <v>3</v>
      </c>
      <c r="O102" s="2" t="s">
        <v>59</v>
      </c>
      <c r="P102" s="7">
        <v>58991.53</v>
      </c>
      <c r="Q102" s="8">
        <v>70.63</v>
      </c>
    </row>
    <row r="103" spans="1:17" x14ac:dyDescent="0.3">
      <c r="A103" s="9" t="s">
        <v>152</v>
      </c>
      <c r="B103" s="10">
        <v>45705</v>
      </c>
      <c r="C103" s="9" t="s">
        <v>29</v>
      </c>
      <c r="D103" s="9" t="s">
        <v>19</v>
      </c>
      <c r="E103" s="11" t="s">
        <v>37</v>
      </c>
      <c r="F103" s="9">
        <v>8</v>
      </c>
      <c r="G103" s="7">
        <v>1178</v>
      </c>
      <c r="H103" s="7">
        <v>9424</v>
      </c>
      <c r="I103" s="7">
        <v>1696.32</v>
      </c>
      <c r="J103" s="7">
        <v>411</v>
      </c>
      <c r="K103" s="12">
        <v>15</v>
      </c>
      <c r="L103" s="7">
        <v>5903.08</v>
      </c>
      <c r="M103" s="9" t="s">
        <v>21</v>
      </c>
      <c r="N103" s="9">
        <v>3.6</v>
      </c>
      <c r="O103" s="9" t="s">
        <v>44</v>
      </c>
      <c r="P103" s="7">
        <v>56605.54</v>
      </c>
      <c r="Q103" s="13">
        <v>62.64</v>
      </c>
    </row>
    <row r="104" spans="1:17" x14ac:dyDescent="0.3">
      <c r="A104" s="2" t="s">
        <v>153</v>
      </c>
      <c r="B104" s="3">
        <v>45797</v>
      </c>
      <c r="C104" s="2" t="s">
        <v>55</v>
      </c>
      <c r="D104" s="2" t="s">
        <v>24</v>
      </c>
      <c r="E104" s="4" t="s">
        <v>37</v>
      </c>
      <c r="F104" s="2">
        <v>16</v>
      </c>
      <c r="G104" s="5">
        <v>1083</v>
      </c>
      <c r="H104" s="5">
        <v>17328</v>
      </c>
      <c r="I104" s="5">
        <v>3119.04</v>
      </c>
      <c r="J104" s="5">
        <v>356</v>
      </c>
      <c r="K104" s="6">
        <v>20</v>
      </c>
      <c r="L104" s="5">
        <v>10387.36</v>
      </c>
      <c r="M104" s="2" t="s">
        <v>26</v>
      </c>
      <c r="N104" s="2">
        <v>3.8</v>
      </c>
      <c r="O104" s="2" t="s">
        <v>34</v>
      </c>
      <c r="P104" s="7">
        <v>52315.01</v>
      </c>
      <c r="Q104" s="8">
        <v>59.95</v>
      </c>
    </row>
    <row r="105" spans="1:17" x14ac:dyDescent="0.3">
      <c r="A105" s="9" t="s">
        <v>154</v>
      </c>
      <c r="B105" s="10">
        <v>45918</v>
      </c>
      <c r="C105" s="9" t="s">
        <v>29</v>
      </c>
      <c r="D105" s="9" t="s">
        <v>19</v>
      </c>
      <c r="E105" s="11" t="s">
        <v>20</v>
      </c>
      <c r="F105" s="9">
        <v>50</v>
      </c>
      <c r="G105" s="7">
        <v>1312</v>
      </c>
      <c r="H105" s="7">
        <v>65600</v>
      </c>
      <c r="I105" s="7">
        <v>11808</v>
      </c>
      <c r="J105" s="7">
        <v>51</v>
      </c>
      <c r="K105" s="12">
        <v>10</v>
      </c>
      <c r="L105" s="7">
        <v>47181</v>
      </c>
      <c r="M105" s="9" t="s">
        <v>21</v>
      </c>
      <c r="N105" s="9">
        <v>3.5</v>
      </c>
      <c r="O105" s="9" t="s">
        <v>59</v>
      </c>
      <c r="P105" s="7">
        <v>62760.55</v>
      </c>
      <c r="Q105" s="13">
        <v>71.92</v>
      </c>
    </row>
    <row r="106" spans="1:17" x14ac:dyDescent="0.3">
      <c r="A106" s="2" t="s">
        <v>155</v>
      </c>
      <c r="B106" s="3">
        <v>45802</v>
      </c>
      <c r="C106" s="2" t="s">
        <v>36</v>
      </c>
      <c r="D106" s="2" t="s">
        <v>24</v>
      </c>
      <c r="E106" s="4" t="s">
        <v>51</v>
      </c>
      <c r="F106" s="2">
        <v>29</v>
      </c>
      <c r="G106" s="5">
        <v>1125</v>
      </c>
      <c r="H106" s="5">
        <v>32625</v>
      </c>
      <c r="I106" s="5">
        <v>5872.5</v>
      </c>
      <c r="J106" s="5">
        <v>440</v>
      </c>
      <c r="K106" s="6">
        <v>15</v>
      </c>
      <c r="L106" s="5">
        <v>21418.75</v>
      </c>
      <c r="M106" s="2" t="s">
        <v>52</v>
      </c>
      <c r="N106" s="2">
        <v>3.7</v>
      </c>
      <c r="O106" s="2" t="s">
        <v>34</v>
      </c>
      <c r="P106" s="7">
        <v>47159.85</v>
      </c>
      <c r="Q106" s="8">
        <v>65.650000000000006</v>
      </c>
    </row>
    <row r="107" spans="1:17" x14ac:dyDescent="0.3">
      <c r="A107" s="9" t="s">
        <v>156</v>
      </c>
      <c r="B107" s="10">
        <v>45936</v>
      </c>
      <c r="C107" s="9" t="s">
        <v>55</v>
      </c>
      <c r="D107" s="9" t="s">
        <v>24</v>
      </c>
      <c r="E107" s="11" t="s">
        <v>33</v>
      </c>
      <c r="F107" s="9">
        <v>13</v>
      </c>
      <c r="G107" s="7">
        <v>972</v>
      </c>
      <c r="H107" s="7">
        <v>12636</v>
      </c>
      <c r="I107" s="7">
        <v>2274.48</v>
      </c>
      <c r="J107" s="7">
        <v>447</v>
      </c>
      <c r="K107" s="12">
        <v>20</v>
      </c>
      <c r="L107" s="7">
        <v>7387.3200000000006</v>
      </c>
      <c r="M107" s="9" t="s">
        <v>52</v>
      </c>
      <c r="N107" s="9">
        <v>3.5</v>
      </c>
      <c r="O107" s="9" t="s">
        <v>27</v>
      </c>
      <c r="P107" s="7">
        <v>55613.45</v>
      </c>
      <c r="Q107" s="13">
        <v>58.46</v>
      </c>
    </row>
    <row r="108" spans="1:17" x14ac:dyDescent="0.3">
      <c r="A108" s="2" t="s">
        <v>157</v>
      </c>
      <c r="B108" s="3">
        <v>45868</v>
      </c>
      <c r="C108" s="2" t="s">
        <v>18</v>
      </c>
      <c r="D108" s="2" t="s">
        <v>40</v>
      </c>
      <c r="E108" s="4" t="s">
        <v>37</v>
      </c>
      <c r="F108" s="2">
        <v>46</v>
      </c>
      <c r="G108" s="5">
        <v>395</v>
      </c>
      <c r="H108" s="5">
        <v>18170</v>
      </c>
      <c r="I108" s="5">
        <v>3270.6</v>
      </c>
      <c r="J108" s="5">
        <v>383</v>
      </c>
      <c r="K108" s="6">
        <v>15</v>
      </c>
      <c r="L108" s="5">
        <v>11790.9</v>
      </c>
      <c r="M108" s="2" t="s">
        <v>21</v>
      </c>
      <c r="N108" s="2">
        <v>4.5999999999999996</v>
      </c>
      <c r="O108" s="2" t="s">
        <v>48</v>
      </c>
      <c r="P108" s="7">
        <v>15993.26</v>
      </c>
      <c r="Q108" s="8">
        <v>64.89</v>
      </c>
    </row>
    <row r="109" spans="1:17" x14ac:dyDescent="0.3">
      <c r="A109" s="9" t="s">
        <v>158</v>
      </c>
      <c r="B109" s="10">
        <v>45735</v>
      </c>
      <c r="C109" s="9" t="s">
        <v>55</v>
      </c>
      <c r="D109" s="9" t="s">
        <v>19</v>
      </c>
      <c r="E109" s="11" t="s">
        <v>51</v>
      </c>
      <c r="F109" s="9">
        <v>33</v>
      </c>
      <c r="G109" s="7">
        <v>1269</v>
      </c>
      <c r="H109" s="7">
        <v>41877</v>
      </c>
      <c r="I109" s="7">
        <v>7537.86</v>
      </c>
      <c r="J109" s="7">
        <v>283</v>
      </c>
      <c r="K109" s="12">
        <v>0</v>
      </c>
      <c r="L109" s="7">
        <v>34056.14</v>
      </c>
      <c r="M109" s="9" t="s">
        <v>52</v>
      </c>
      <c r="N109" s="9">
        <v>3.2</v>
      </c>
      <c r="O109" s="9" t="s">
        <v>66</v>
      </c>
      <c r="P109" s="7">
        <v>54934.87</v>
      </c>
      <c r="Q109" s="13">
        <v>81.319999999999993</v>
      </c>
    </row>
    <row r="110" spans="1:17" x14ac:dyDescent="0.3">
      <c r="A110" s="2" t="s">
        <v>159</v>
      </c>
      <c r="B110" s="3">
        <v>45665</v>
      </c>
      <c r="C110" s="2" t="s">
        <v>29</v>
      </c>
      <c r="D110" s="2" t="s">
        <v>24</v>
      </c>
      <c r="E110" s="4" t="s">
        <v>51</v>
      </c>
      <c r="F110" s="2">
        <v>5</v>
      </c>
      <c r="G110" s="5">
        <v>1090</v>
      </c>
      <c r="H110" s="5">
        <v>5450</v>
      </c>
      <c r="I110" s="5">
        <v>981</v>
      </c>
      <c r="J110" s="5">
        <v>253</v>
      </c>
      <c r="K110" s="6">
        <v>10</v>
      </c>
      <c r="L110" s="5">
        <v>3671</v>
      </c>
      <c r="M110" s="2" t="s">
        <v>52</v>
      </c>
      <c r="N110" s="2">
        <v>4.2</v>
      </c>
      <c r="O110" s="2" t="s">
        <v>79</v>
      </c>
      <c r="P110" s="7">
        <v>54639.11</v>
      </c>
      <c r="Q110" s="8">
        <v>67.36</v>
      </c>
    </row>
    <row r="111" spans="1:17" x14ac:dyDescent="0.3">
      <c r="A111" s="9" t="s">
        <v>160</v>
      </c>
      <c r="B111" s="10">
        <v>45990</v>
      </c>
      <c r="C111" s="9" t="s">
        <v>18</v>
      </c>
      <c r="D111" s="9" t="s">
        <v>40</v>
      </c>
      <c r="E111" s="11" t="s">
        <v>75</v>
      </c>
      <c r="F111" s="9">
        <v>25</v>
      </c>
      <c r="G111" s="7">
        <v>362</v>
      </c>
      <c r="H111" s="7">
        <v>9050</v>
      </c>
      <c r="I111" s="7">
        <v>1629</v>
      </c>
      <c r="J111" s="7">
        <v>85</v>
      </c>
      <c r="K111" s="12">
        <v>15</v>
      </c>
      <c r="L111" s="7">
        <v>5978.5</v>
      </c>
      <c r="M111" s="9" t="s">
        <v>21</v>
      </c>
      <c r="N111" s="9">
        <v>3.1</v>
      </c>
      <c r="O111" s="9" t="s">
        <v>22</v>
      </c>
      <c r="P111" s="7">
        <v>15784.34</v>
      </c>
      <c r="Q111" s="13">
        <v>66.06</v>
      </c>
    </row>
    <row r="112" spans="1:17" x14ac:dyDescent="0.3">
      <c r="A112" s="2" t="s">
        <v>161</v>
      </c>
      <c r="B112" s="3">
        <v>45778</v>
      </c>
      <c r="C112" s="2" t="s">
        <v>36</v>
      </c>
      <c r="D112" s="2" t="s">
        <v>32</v>
      </c>
      <c r="E112" s="4" t="s">
        <v>58</v>
      </c>
      <c r="F112" s="2">
        <v>28</v>
      </c>
      <c r="G112" s="5">
        <v>750</v>
      </c>
      <c r="H112" s="5">
        <v>21000</v>
      </c>
      <c r="I112" s="5">
        <v>3780</v>
      </c>
      <c r="J112" s="5">
        <v>203</v>
      </c>
      <c r="K112" s="6">
        <v>0</v>
      </c>
      <c r="L112" s="5">
        <v>17017</v>
      </c>
      <c r="M112" s="2" t="s">
        <v>52</v>
      </c>
      <c r="N112" s="2">
        <v>3.3</v>
      </c>
      <c r="O112" s="2" t="s">
        <v>34</v>
      </c>
      <c r="P112" s="7">
        <v>36996.65</v>
      </c>
      <c r="Q112" s="8">
        <v>81.03</v>
      </c>
    </row>
    <row r="113" spans="1:17" x14ac:dyDescent="0.3">
      <c r="A113" s="9" t="s">
        <v>162</v>
      </c>
      <c r="B113" s="10">
        <v>45672</v>
      </c>
      <c r="C113" s="9" t="s">
        <v>18</v>
      </c>
      <c r="D113" s="9" t="s">
        <v>40</v>
      </c>
      <c r="E113" s="11" t="s">
        <v>25</v>
      </c>
      <c r="F113" s="9">
        <v>19</v>
      </c>
      <c r="G113" s="7">
        <v>383</v>
      </c>
      <c r="H113" s="7">
        <v>7277</v>
      </c>
      <c r="I113" s="7">
        <v>1309.8599999999999</v>
      </c>
      <c r="J113" s="7">
        <v>321</v>
      </c>
      <c r="K113" s="12">
        <v>10</v>
      </c>
      <c r="L113" s="7">
        <v>4918.4400000000014</v>
      </c>
      <c r="M113" s="9" t="s">
        <v>52</v>
      </c>
      <c r="N113" s="9">
        <v>3.3</v>
      </c>
      <c r="O113" s="9" t="s">
        <v>79</v>
      </c>
      <c r="P113" s="7">
        <v>14083.7</v>
      </c>
      <c r="Q113" s="13">
        <v>67.59</v>
      </c>
    </row>
    <row r="114" spans="1:17" x14ac:dyDescent="0.3">
      <c r="A114" s="2" t="s">
        <v>163</v>
      </c>
      <c r="B114" s="3">
        <v>45868</v>
      </c>
      <c r="C114" s="2" t="s">
        <v>39</v>
      </c>
      <c r="D114" s="2" t="s">
        <v>32</v>
      </c>
      <c r="E114" s="4" t="s">
        <v>51</v>
      </c>
      <c r="F114" s="2">
        <v>12</v>
      </c>
      <c r="G114" s="5">
        <v>740</v>
      </c>
      <c r="H114" s="5">
        <v>8880</v>
      </c>
      <c r="I114" s="5">
        <v>1598.4</v>
      </c>
      <c r="J114" s="5">
        <v>173</v>
      </c>
      <c r="K114" s="6">
        <v>20</v>
      </c>
      <c r="L114" s="5">
        <v>5332.6</v>
      </c>
      <c r="M114" s="2" t="s">
        <v>52</v>
      </c>
      <c r="N114" s="2">
        <v>4.2</v>
      </c>
      <c r="O114" s="2" t="s">
        <v>48</v>
      </c>
      <c r="P114" s="7">
        <v>43018.080000000002</v>
      </c>
      <c r="Q114" s="8">
        <v>60.05</v>
      </c>
    </row>
    <row r="115" spans="1:17" x14ac:dyDescent="0.3">
      <c r="A115" s="9" t="s">
        <v>164</v>
      </c>
      <c r="B115" s="10">
        <v>45912</v>
      </c>
      <c r="C115" s="9" t="s">
        <v>39</v>
      </c>
      <c r="D115" s="9" t="s">
        <v>32</v>
      </c>
      <c r="E115" s="11" t="s">
        <v>30</v>
      </c>
      <c r="F115" s="9">
        <v>30</v>
      </c>
      <c r="G115" s="7">
        <v>830</v>
      </c>
      <c r="H115" s="7">
        <v>24900</v>
      </c>
      <c r="I115" s="7">
        <v>4482</v>
      </c>
      <c r="J115" s="7">
        <v>461</v>
      </c>
      <c r="K115" s="12">
        <v>15</v>
      </c>
      <c r="L115" s="7">
        <v>16222</v>
      </c>
      <c r="M115" s="9" t="s">
        <v>52</v>
      </c>
      <c r="N115" s="9">
        <v>4.3</v>
      </c>
      <c r="O115" s="9" t="s">
        <v>59</v>
      </c>
      <c r="P115" s="7">
        <v>34961.53</v>
      </c>
      <c r="Q115" s="13">
        <v>65.150000000000006</v>
      </c>
    </row>
    <row r="116" spans="1:17" x14ac:dyDescent="0.3">
      <c r="A116" s="2" t="s">
        <v>165</v>
      </c>
      <c r="B116" s="3">
        <v>45896</v>
      </c>
      <c r="C116" s="2" t="s">
        <v>36</v>
      </c>
      <c r="D116" s="2" t="s">
        <v>32</v>
      </c>
      <c r="E116" s="4" t="s">
        <v>58</v>
      </c>
      <c r="F116" s="2">
        <v>29</v>
      </c>
      <c r="G116" s="5">
        <v>876</v>
      </c>
      <c r="H116" s="5">
        <v>25404</v>
      </c>
      <c r="I116" s="5">
        <v>4572.72</v>
      </c>
      <c r="J116" s="5">
        <v>267</v>
      </c>
      <c r="K116" s="6">
        <v>20</v>
      </c>
      <c r="L116" s="5">
        <v>15483.48</v>
      </c>
      <c r="M116" s="2" t="s">
        <v>52</v>
      </c>
      <c r="N116" s="2">
        <v>4.3</v>
      </c>
      <c r="O116" s="2" t="s">
        <v>53</v>
      </c>
      <c r="P116" s="7">
        <v>39253.79</v>
      </c>
      <c r="Q116" s="8">
        <v>60.95</v>
      </c>
    </row>
    <row r="117" spans="1:17" x14ac:dyDescent="0.3">
      <c r="A117" s="9" t="s">
        <v>166</v>
      </c>
      <c r="B117" s="10">
        <v>46011</v>
      </c>
      <c r="C117" s="9" t="s">
        <v>36</v>
      </c>
      <c r="D117" s="9" t="s">
        <v>24</v>
      </c>
      <c r="E117" s="11" t="s">
        <v>20</v>
      </c>
      <c r="F117" s="9">
        <v>13</v>
      </c>
      <c r="G117" s="7">
        <v>1046</v>
      </c>
      <c r="H117" s="7">
        <v>13598</v>
      </c>
      <c r="I117" s="7">
        <v>2447.64</v>
      </c>
      <c r="J117" s="7">
        <v>342</v>
      </c>
      <c r="K117" s="12">
        <v>15</v>
      </c>
      <c r="L117" s="7">
        <v>8768.66</v>
      </c>
      <c r="M117" s="9" t="s">
        <v>26</v>
      </c>
      <c r="N117" s="9">
        <v>3.5</v>
      </c>
      <c r="O117" s="9" t="s">
        <v>46</v>
      </c>
      <c r="P117" s="7">
        <v>56957.1</v>
      </c>
      <c r="Q117" s="13">
        <v>64.48</v>
      </c>
    </row>
    <row r="118" spans="1:17" x14ac:dyDescent="0.3">
      <c r="A118" s="2" t="s">
        <v>167</v>
      </c>
      <c r="B118" s="3">
        <v>45841</v>
      </c>
      <c r="C118" s="2" t="s">
        <v>39</v>
      </c>
      <c r="D118" s="2" t="s">
        <v>40</v>
      </c>
      <c r="E118" s="4" t="s">
        <v>20</v>
      </c>
      <c r="F118" s="2">
        <v>2</v>
      </c>
      <c r="G118" s="5">
        <v>402</v>
      </c>
      <c r="H118" s="5">
        <v>804</v>
      </c>
      <c r="I118" s="5">
        <v>144.72</v>
      </c>
      <c r="J118" s="5">
        <v>401</v>
      </c>
      <c r="K118" s="6">
        <v>10</v>
      </c>
      <c r="L118" s="5">
        <v>177.88</v>
      </c>
      <c r="M118" s="2" t="s">
        <v>26</v>
      </c>
      <c r="N118" s="2">
        <v>4.0999999999999996</v>
      </c>
      <c r="O118" s="2" t="s">
        <v>48</v>
      </c>
      <c r="P118" s="7">
        <v>13902.96</v>
      </c>
      <c r="Q118" s="8">
        <v>22.12</v>
      </c>
    </row>
    <row r="119" spans="1:17" x14ac:dyDescent="0.3">
      <c r="A119" s="9" t="s">
        <v>168</v>
      </c>
      <c r="B119" s="10">
        <v>45683</v>
      </c>
      <c r="C119" s="9" t="s">
        <v>39</v>
      </c>
      <c r="D119" s="9" t="s">
        <v>24</v>
      </c>
      <c r="E119" s="11" t="s">
        <v>20</v>
      </c>
      <c r="F119" s="9">
        <v>50</v>
      </c>
      <c r="G119" s="7">
        <v>967</v>
      </c>
      <c r="H119" s="7">
        <v>48350</v>
      </c>
      <c r="I119" s="7">
        <v>8703</v>
      </c>
      <c r="J119" s="7">
        <v>147</v>
      </c>
      <c r="K119" s="12">
        <v>20</v>
      </c>
      <c r="L119" s="7">
        <v>29830</v>
      </c>
      <c r="M119" s="9" t="s">
        <v>52</v>
      </c>
      <c r="N119" s="9">
        <v>3.4</v>
      </c>
      <c r="O119" s="9" t="s">
        <v>79</v>
      </c>
      <c r="P119" s="7">
        <v>50047.26</v>
      </c>
      <c r="Q119" s="13">
        <v>61.7</v>
      </c>
    </row>
    <row r="120" spans="1:17" x14ac:dyDescent="0.3">
      <c r="A120" s="2" t="s">
        <v>169</v>
      </c>
      <c r="B120" s="3">
        <v>45975</v>
      </c>
      <c r="C120" s="2" t="s">
        <v>36</v>
      </c>
      <c r="D120" s="2" t="s">
        <v>32</v>
      </c>
      <c r="E120" s="4" t="s">
        <v>58</v>
      </c>
      <c r="F120" s="2">
        <v>41</v>
      </c>
      <c r="G120" s="5">
        <v>720</v>
      </c>
      <c r="H120" s="5">
        <v>29520</v>
      </c>
      <c r="I120" s="5">
        <v>5313.5999999999995</v>
      </c>
      <c r="J120" s="5">
        <v>236</v>
      </c>
      <c r="K120" s="6">
        <v>10</v>
      </c>
      <c r="L120" s="5">
        <v>21018.400000000001</v>
      </c>
      <c r="M120" s="2" t="s">
        <v>52</v>
      </c>
      <c r="N120" s="2">
        <v>3.1</v>
      </c>
      <c r="O120" s="2" t="s">
        <v>22</v>
      </c>
      <c r="P120" s="7">
        <v>44886.47</v>
      </c>
      <c r="Q120" s="8">
        <v>71.2</v>
      </c>
    </row>
    <row r="121" spans="1:17" x14ac:dyDescent="0.3">
      <c r="A121" s="9" t="s">
        <v>170</v>
      </c>
      <c r="B121" s="10">
        <v>45725</v>
      </c>
      <c r="C121" s="9" t="s">
        <v>18</v>
      </c>
      <c r="D121" s="9" t="s">
        <v>40</v>
      </c>
      <c r="E121" s="11" t="s">
        <v>33</v>
      </c>
      <c r="F121" s="9">
        <v>48</v>
      </c>
      <c r="G121" s="7">
        <v>412</v>
      </c>
      <c r="H121" s="7">
        <v>19776</v>
      </c>
      <c r="I121" s="7">
        <v>3559.68</v>
      </c>
      <c r="J121" s="7">
        <v>326</v>
      </c>
      <c r="K121" s="12">
        <v>5</v>
      </c>
      <c r="L121" s="7">
        <v>14901.52</v>
      </c>
      <c r="M121" s="9" t="s">
        <v>26</v>
      </c>
      <c r="N121" s="9">
        <v>3.3</v>
      </c>
      <c r="O121" s="9" t="s">
        <v>66</v>
      </c>
      <c r="P121" s="7">
        <v>16685.669999999998</v>
      </c>
      <c r="Q121" s="13">
        <v>75.349999999999994</v>
      </c>
    </row>
    <row r="122" spans="1:17" x14ac:dyDescent="0.3">
      <c r="A122" s="2" t="s">
        <v>171</v>
      </c>
      <c r="B122" s="3">
        <v>45845</v>
      </c>
      <c r="C122" s="2" t="s">
        <v>39</v>
      </c>
      <c r="D122" s="2" t="s">
        <v>40</v>
      </c>
      <c r="E122" s="4" t="s">
        <v>51</v>
      </c>
      <c r="F122" s="2">
        <v>17</v>
      </c>
      <c r="G122" s="5">
        <v>446</v>
      </c>
      <c r="H122" s="5">
        <v>7582</v>
      </c>
      <c r="I122" s="5">
        <v>1364.76</v>
      </c>
      <c r="J122" s="5">
        <v>461</v>
      </c>
      <c r="K122" s="6">
        <v>10</v>
      </c>
      <c r="L122" s="5">
        <v>4998.04</v>
      </c>
      <c r="M122" s="2" t="s">
        <v>21</v>
      </c>
      <c r="N122" s="2">
        <v>4.7</v>
      </c>
      <c r="O122" s="2" t="s">
        <v>48</v>
      </c>
      <c r="P122" s="7">
        <v>16296.92</v>
      </c>
      <c r="Q122" s="8">
        <v>65.92</v>
      </c>
    </row>
    <row r="123" spans="1:17" x14ac:dyDescent="0.3">
      <c r="A123" s="9" t="s">
        <v>172</v>
      </c>
      <c r="B123" s="10">
        <v>45716</v>
      </c>
      <c r="C123" s="9" t="s">
        <v>55</v>
      </c>
      <c r="D123" s="9" t="s">
        <v>19</v>
      </c>
      <c r="E123" s="11" t="s">
        <v>51</v>
      </c>
      <c r="F123" s="9">
        <v>49</v>
      </c>
      <c r="G123" s="7">
        <v>1215</v>
      </c>
      <c r="H123" s="7">
        <v>59535</v>
      </c>
      <c r="I123" s="7">
        <v>10716.3</v>
      </c>
      <c r="J123" s="7">
        <v>454</v>
      </c>
      <c r="K123" s="12">
        <v>15</v>
      </c>
      <c r="L123" s="7">
        <v>39434.449999999997</v>
      </c>
      <c r="M123" s="9" t="s">
        <v>21</v>
      </c>
      <c r="N123" s="9">
        <v>3.7</v>
      </c>
      <c r="O123" s="9" t="s">
        <v>44</v>
      </c>
      <c r="P123" s="7">
        <v>60598.39</v>
      </c>
      <c r="Q123" s="13">
        <v>66.239999999999995</v>
      </c>
    </row>
    <row r="124" spans="1:17" x14ac:dyDescent="0.3">
      <c r="A124" s="2" t="s">
        <v>173</v>
      </c>
      <c r="B124" s="3">
        <v>45860</v>
      </c>
      <c r="C124" s="2" t="s">
        <v>18</v>
      </c>
      <c r="D124" s="2" t="s">
        <v>40</v>
      </c>
      <c r="E124" s="4" t="s">
        <v>75</v>
      </c>
      <c r="F124" s="2">
        <v>8</v>
      </c>
      <c r="G124" s="5">
        <v>432</v>
      </c>
      <c r="H124" s="5">
        <v>3456</v>
      </c>
      <c r="I124" s="5">
        <v>622.07999999999993</v>
      </c>
      <c r="J124" s="5">
        <v>184</v>
      </c>
      <c r="K124" s="6">
        <v>10</v>
      </c>
      <c r="L124" s="5">
        <v>2304.3200000000002</v>
      </c>
      <c r="M124" s="2" t="s">
        <v>21</v>
      </c>
      <c r="N124" s="2">
        <v>4.5</v>
      </c>
      <c r="O124" s="2" t="s">
        <v>48</v>
      </c>
      <c r="P124" s="7">
        <v>16934.240000000002</v>
      </c>
      <c r="Q124" s="8">
        <v>66.680000000000007</v>
      </c>
    </row>
    <row r="125" spans="1:17" x14ac:dyDescent="0.3">
      <c r="A125" s="9" t="s">
        <v>174</v>
      </c>
      <c r="B125" s="10">
        <v>45957</v>
      </c>
      <c r="C125" s="9" t="s">
        <v>55</v>
      </c>
      <c r="D125" s="9" t="s">
        <v>40</v>
      </c>
      <c r="E125" s="11" t="s">
        <v>58</v>
      </c>
      <c r="F125" s="9">
        <v>44</v>
      </c>
      <c r="G125" s="7">
        <v>319</v>
      </c>
      <c r="H125" s="7">
        <v>14036</v>
      </c>
      <c r="I125" s="7">
        <v>2526.48</v>
      </c>
      <c r="J125" s="7">
        <v>337</v>
      </c>
      <c r="K125" s="12">
        <v>15</v>
      </c>
      <c r="L125" s="7">
        <v>9067.1200000000008</v>
      </c>
      <c r="M125" s="9" t="s">
        <v>26</v>
      </c>
      <c r="N125" s="9">
        <v>4.2</v>
      </c>
      <c r="O125" s="9" t="s">
        <v>27</v>
      </c>
      <c r="P125" s="7">
        <v>13905.76</v>
      </c>
      <c r="Q125" s="13">
        <v>64.599999999999994</v>
      </c>
    </row>
    <row r="126" spans="1:17" x14ac:dyDescent="0.3">
      <c r="A126" s="2" t="s">
        <v>175</v>
      </c>
      <c r="B126" s="3">
        <v>45825</v>
      </c>
      <c r="C126" s="2" t="s">
        <v>39</v>
      </c>
      <c r="D126" s="2" t="s">
        <v>32</v>
      </c>
      <c r="E126" s="4" t="s">
        <v>58</v>
      </c>
      <c r="F126" s="2">
        <v>41</v>
      </c>
      <c r="G126" s="5">
        <v>937</v>
      </c>
      <c r="H126" s="5">
        <v>38417</v>
      </c>
      <c r="I126" s="5">
        <v>6915.0599999999986</v>
      </c>
      <c r="J126" s="5">
        <v>121</v>
      </c>
      <c r="K126" s="6">
        <v>10</v>
      </c>
      <c r="L126" s="5">
        <v>27539.24</v>
      </c>
      <c r="M126" s="2" t="s">
        <v>21</v>
      </c>
      <c r="N126" s="2">
        <v>3.8</v>
      </c>
      <c r="O126" s="2" t="s">
        <v>63</v>
      </c>
      <c r="P126" s="7">
        <v>44578.95</v>
      </c>
      <c r="Q126" s="8">
        <v>71.69</v>
      </c>
    </row>
    <row r="127" spans="1:17" x14ac:dyDescent="0.3">
      <c r="A127" s="9" t="s">
        <v>176</v>
      </c>
      <c r="B127" s="10">
        <v>45681</v>
      </c>
      <c r="C127" s="9" t="s">
        <v>18</v>
      </c>
      <c r="D127" s="9" t="s">
        <v>40</v>
      </c>
      <c r="E127" s="11" t="s">
        <v>37</v>
      </c>
      <c r="F127" s="9">
        <v>8</v>
      </c>
      <c r="G127" s="7">
        <v>249</v>
      </c>
      <c r="H127" s="7">
        <v>1992</v>
      </c>
      <c r="I127" s="7">
        <v>358.56</v>
      </c>
      <c r="J127" s="7">
        <v>282</v>
      </c>
      <c r="K127" s="12">
        <v>5</v>
      </c>
      <c r="L127" s="7">
        <v>1251.8399999999999</v>
      </c>
      <c r="M127" s="9" t="s">
        <v>21</v>
      </c>
      <c r="N127" s="9">
        <v>3.3</v>
      </c>
      <c r="O127" s="9" t="s">
        <v>79</v>
      </c>
      <c r="P127" s="7">
        <v>14592</v>
      </c>
      <c r="Q127" s="13">
        <v>62.84</v>
      </c>
    </row>
    <row r="128" spans="1:17" x14ac:dyDescent="0.3">
      <c r="A128" s="2" t="s">
        <v>177</v>
      </c>
      <c r="B128" s="3">
        <v>45847</v>
      </c>
      <c r="C128" s="2" t="s">
        <v>39</v>
      </c>
      <c r="D128" s="2" t="s">
        <v>24</v>
      </c>
      <c r="E128" s="4" t="s">
        <v>41</v>
      </c>
      <c r="F128" s="2">
        <v>48</v>
      </c>
      <c r="G128" s="5">
        <v>929</v>
      </c>
      <c r="H128" s="5">
        <v>44592</v>
      </c>
      <c r="I128" s="5">
        <v>8026.5599999999986</v>
      </c>
      <c r="J128" s="5">
        <v>300</v>
      </c>
      <c r="K128" s="6">
        <v>15</v>
      </c>
      <c r="L128" s="5">
        <v>29576.639999999999</v>
      </c>
      <c r="M128" s="2" t="s">
        <v>21</v>
      </c>
      <c r="N128" s="2">
        <v>3.2</v>
      </c>
      <c r="O128" s="2" t="s">
        <v>48</v>
      </c>
      <c r="P128" s="7">
        <v>52373.26</v>
      </c>
      <c r="Q128" s="8">
        <v>66.33</v>
      </c>
    </row>
    <row r="129" spans="1:17" x14ac:dyDescent="0.3">
      <c r="A129" s="9" t="s">
        <v>178</v>
      </c>
      <c r="B129" s="10">
        <v>45973</v>
      </c>
      <c r="C129" s="9" t="s">
        <v>55</v>
      </c>
      <c r="D129" s="9" t="s">
        <v>40</v>
      </c>
      <c r="E129" s="11" t="s">
        <v>25</v>
      </c>
      <c r="F129" s="9">
        <v>45</v>
      </c>
      <c r="G129" s="7">
        <v>389</v>
      </c>
      <c r="H129" s="7">
        <v>17505</v>
      </c>
      <c r="I129" s="7">
        <v>3150.9</v>
      </c>
      <c r="J129" s="7">
        <v>170</v>
      </c>
      <c r="K129" s="12">
        <v>5</v>
      </c>
      <c r="L129" s="7">
        <v>13308.85</v>
      </c>
      <c r="M129" s="9" t="s">
        <v>52</v>
      </c>
      <c r="N129" s="9">
        <v>3.9</v>
      </c>
      <c r="O129" s="9" t="s">
        <v>22</v>
      </c>
      <c r="P129" s="7">
        <v>15499.52</v>
      </c>
      <c r="Q129" s="13">
        <v>76.03</v>
      </c>
    </row>
    <row r="130" spans="1:17" x14ac:dyDescent="0.3">
      <c r="A130" s="2" t="s">
        <v>179</v>
      </c>
      <c r="B130" s="3">
        <v>45843</v>
      </c>
      <c r="C130" s="2" t="s">
        <v>18</v>
      </c>
      <c r="D130" s="2" t="s">
        <v>40</v>
      </c>
      <c r="E130" s="4" t="s">
        <v>75</v>
      </c>
      <c r="F130" s="2">
        <v>42</v>
      </c>
      <c r="G130" s="5">
        <v>383</v>
      </c>
      <c r="H130" s="5">
        <v>16086</v>
      </c>
      <c r="I130" s="5">
        <v>2895.48</v>
      </c>
      <c r="J130" s="5">
        <v>112</v>
      </c>
      <c r="K130" s="6">
        <v>0</v>
      </c>
      <c r="L130" s="5">
        <v>13078.52</v>
      </c>
      <c r="M130" s="2" t="s">
        <v>52</v>
      </c>
      <c r="N130" s="2">
        <v>3.6</v>
      </c>
      <c r="O130" s="2" t="s">
        <v>48</v>
      </c>
      <c r="P130" s="7">
        <v>14020.31</v>
      </c>
      <c r="Q130" s="8">
        <v>81.3</v>
      </c>
    </row>
    <row r="131" spans="1:17" x14ac:dyDescent="0.3">
      <c r="A131" s="9" t="s">
        <v>180</v>
      </c>
      <c r="B131" s="10">
        <v>45890</v>
      </c>
      <c r="C131" s="9" t="s">
        <v>18</v>
      </c>
      <c r="D131" s="9" t="s">
        <v>32</v>
      </c>
      <c r="E131" s="11" t="s">
        <v>41</v>
      </c>
      <c r="F131" s="9">
        <v>2</v>
      </c>
      <c r="G131" s="7">
        <v>725</v>
      </c>
      <c r="H131" s="7">
        <v>1450</v>
      </c>
      <c r="I131" s="7">
        <v>261</v>
      </c>
      <c r="J131" s="7">
        <v>452</v>
      </c>
      <c r="K131" s="12">
        <v>10</v>
      </c>
      <c r="L131" s="7">
        <v>592</v>
      </c>
      <c r="M131" s="9" t="s">
        <v>26</v>
      </c>
      <c r="N131" s="9">
        <v>5</v>
      </c>
      <c r="O131" s="9" t="s">
        <v>53</v>
      </c>
      <c r="P131" s="7">
        <v>42138.91</v>
      </c>
      <c r="Q131" s="13">
        <v>40.83</v>
      </c>
    </row>
    <row r="132" spans="1:17" x14ac:dyDescent="0.3">
      <c r="A132" s="2" t="s">
        <v>181</v>
      </c>
      <c r="B132" s="3">
        <v>45947</v>
      </c>
      <c r="C132" s="2" t="s">
        <v>29</v>
      </c>
      <c r="D132" s="2" t="s">
        <v>19</v>
      </c>
      <c r="E132" s="4" t="s">
        <v>75</v>
      </c>
      <c r="F132" s="2">
        <v>14</v>
      </c>
      <c r="G132" s="5">
        <v>1400</v>
      </c>
      <c r="H132" s="5">
        <v>19600</v>
      </c>
      <c r="I132" s="5">
        <v>3528</v>
      </c>
      <c r="J132" s="5">
        <v>125</v>
      </c>
      <c r="K132" s="6">
        <v>5</v>
      </c>
      <c r="L132" s="5">
        <v>14967</v>
      </c>
      <c r="M132" s="2" t="s">
        <v>26</v>
      </c>
      <c r="N132" s="2">
        <v>3.7</v>
      </c>
      <c r="O132" s="2" t="s">
        <v>27</v>
      </c>
      <c r="P132" s="7">
        <v>61876.98</v>
      </c>
      <c r="Q132" s="8">
        <v>76.36</v>
      </c>
    </row>
    <row r="133" spans="1:17" x14ac:dyDescent="0.3">
      <c r="A133" s="9" t="s">
        <v>182</v>
      </c>
      <c r="B133" s="10">
        <v>45963</v>
      </c>
      <c r="C133" s="9" t="s">
        <v>18</v>
      </c>
      <c r="D133" s="9" t="s">
        <v>40</v>
      </c>
      <c r="E133" s="11" t="s">
        <v>51</v>
      </c>
      <c r="F133" s="9">
        <v>9</v>
      </c>
      <c r="G133" s="7">
        <v>476</v>
      </c>
      <c r="H133" s="7">
        <v>4284</v>
      </c>
      <c r="I133" s="7">
        <v>771.12</v>
      </c>
      <c r="J133" s="7">
        <v>493</v>
      </c>
      <c r="K133" s="12">
        <v>10</v>
      </c>
      <c r="L133" s="7">
        <v>2591.48</v>
      </c>
      <c r="M133" s="9" t="s">
        <v>26</v>
      </c>
      <c r="N133" s="9">
        <v>3.2</v>
      </c>
      <c r="O133" s="9" t="s">
        <v>22</v>
      </c>
      <c r="P133" s="7">
        <v>17192.82</v>
      </c>
      <c r="Q133" s="13">
        <v>60.49</v>
      </c>
    </row>
    <row r="134" spans="1:17" x14ac:dyDescent="0.3">
      <c r="A134" s="2" t="s">
        <v>183</v>
      </c>
      <c r="B134" s="3">
        <v>45671</v>
      </c>
      <c r="C134" s="2" t="s">
        <v>29</v>
      </c>
      <c r="D134" s="2" t="s">
        <v>19</v>
      </c>
      <c r="E134" s="4" t="s">
        <v>33</v>
      </c>
      <c r="F134" s="2">
        <v>16</v>
      </c>
      <c r="G134" s="5">
        <v>1265</v>
      </c>
      <c r="H134" s="5">
        <v>20240</v>
      </c>
      <c r="I134" s="5">
        <v>3643.2</v>
      </c>
      <c r="J134" s="5">
        <v>114</v>
      </c>
      <c r="K134" s="6">
        <v>0</v>
      </c>
      <c r="L134" s="5">
        <v>16482.8</v>
      </c>
      <c r="M134" s="2" t="s">
        <v>26</v>
      </c>
      <c r="N134" s="2">
        <v>3.5</v>
      </c>
      <c r="O134" s="2" t="s">
        <v>79</v>
      </c>
      <c r="P134" s="7">
        <v>63002.07</v>
      </c>
      <c r="Q134" s="8">
        <v>81.44</v>
      </c>
    </row>
    <row r="135" spans="1:17" x14ac:dyDescent="0.3">
      <c r="A135" s="9" t="s">
        <v>184</v>
      </c>
      <c r="B135" s="10">
        <v>45873</v>
      </c>
      <c r="C135" s="9" t="s">
        <v>39</v>
      </c>
      <c r="D135" s="9" t="s">
        <v>19</v>
      </c>
      <c r="E135" s="11" t="s">
        <v>58</v>
      </c>
      <c r="F135" s="9">
        <v>31</v>
      </c>
      <c r="G135" s="7">
        <v>1329</v>
      </c>
      <c r="H135" s="7">
        <v>41199</v>
      </c>
      <c r="I135" s="7">
        <v>7415.82</v>
      </c>
      <c r="J135" s="7">
        <v>281</v>
      </c>
      <c r="K135" s="12">
        <v>10</v>
      </c>
      <c r="L135" s="7">
        <v>29382.28</v>
      </c>
      <c r="M135" s="9" t="s">
        <v>21</v>
      </c>
      <c r="N135" s="9">
        <v>4.2</v>
      </c>
      <c r="O135" s="9" t="s">
        <v>53</v>
      </c>
      <c r="P135" s="7">
        <v>58920.959999999999</v>
      </c>
      <c r="Q135" s="13">
        <v>71.319999999999993</v>
      </c>
    </row>
    <row r="136" spans="1:17" x14ac:dyDescent="0.3">
      <c r="A136" s="2" t="s">
        <v>185</v>
      </c>
      <c r="B136" s="3">
        <v>45915</v>
      </c>
      <c r="C136" s="2" t="s">
        <v>29</v>
      </c>
      <c r="D136" s="2" t="s">
        <v>19</v>
      </c>
      <c r="E136" s="4" t="s">
        <v>75</v>
      </c>
      <c r="F136" s="2">
        <v>20</v>
      </c>
      <c r="G136" s="5">
        <v>1334</v>
      </c>
      <c r="H136" s="5">
        <v>26680</v>
      </c>
      <c r="I136" s="5">
        <v>4802.3999999999996</v>
      </c>
      <c r="J136" s="5">
        <v>483</v>
      </c>
      <c r="K136" s="6">
        <v>0</v>
      </c>
      <c r="L136" s="5">
        <v>21394.6</v>
      </c>
      <c r="M136" s="2" t="s">
        <v>26</v>
      </c>
      <c r="N136" s="2">
        <v>5</v>
      </c>
      <c r="O136" s="2" t="s">
        <v>59</v>
      </c>
      <c r="P136" s="7">
        <v>57836.84</v>
      </c>
      <c r="Q136" s="8">
        <v>80.19</v>
      </c>
    </row>
    <row r="137" spans="1:17" x14ac:dyDescent="0.3">
      <c r="A137" s="9" t="s">
        <v>186</v>
      </c>
      <c r="B137" s="10">
        <v>45863</v>
      </c>
      <c r="C137" s="9" t="s">
        <v>55</v>
      </c>
      <c r="D137" s="9" t="s">
        <v>19</v>
      </c>
      <c r="E137" s="11" t="s">
        <v>37</v>
      </c>
      <c r="F137" s="9">
        <v>46</v>
      </c>
      <c r="G137" s="7">
        <v>1327</v>
      </c>
      <c r="H137" s="7">
        <v>61042</v>
      </c>
      <c r="I137" s="7">
        <v>10987.56</v>
      </c>
      <c r="J137" s="7">
        <v>125</v>
      </c>
      <c r="K137" s="12">
        <v>0</v>
      </c>
      <c r="L137" s="7">
        <v>49929.440000000002</v>
      </c>
      <c r="M137" s="9" t="s">
        <v>26</v>
      </c>
      <c r="N137" s="9">
        <v>3.6</v>
      </c>
      <c r="O137" s="9" t="s">
        <v>48</v>
      </c>
      <c r="P137" s="7">
        <v>66974.66</v>
      </c>
      <c r="Q137" s="13">
        <v>81.8</v>
      </c>
    </row>
    <row r="138" spans="1:17" x14ac:dyDescent="0.3">
      <c r="A138" s="2" t="s">
        <v>187</v>
      </c>
      <c r="B138" s="3">
        <v>45691</v>
      </c>
      <c r="C138" s="2" t="s">
        <v>29</v>
      </c>
      <c r="D138" s="2" t="s">
        <v>40</v>
      </c>
      <c r="E138" s="4" t="s">
        <v>41</v>
      </c>
      <c r="F138" s="2">
        <v>41</v>
      </c>
      <c r="G138" s="5">
        <v>499</v>
      </c>
      <c r="H138" s="5">
        <v>20459</v>
      </c>
      <c r="I138" s="5">
        <v>3682.62</v>
      </c>
      <c r="J138" s="5">
        <v>355</v>
      </c>
      <c r="K138" s="6">
        <v>20</v>
      </c>
      <c r="L138" s="5">
        <v>12329.58</v>
      </c>
      <c r="M138" s="2" t="s">
        <v>21</v>
      </c>
      <c r="N138" s="2">
        <v>3.7</v>
      </c>
      <c r="O138" s="2" t="s">
        <v>44</v>
      </c>
      <c r="P138" s="7">
        <v>14304.22</v>
      </c>
      <c r="Q138" s="8">
        <v>60.26</v>
      </c>
    </row>
    <row r="139" spans="1:17" x14ac:dyDescent="0.3">
      <c r="A139" s="9" t="s">
        <v>188</v>
      </c>
      <c r="B139" s="10">
        <v>45929</v>
      </c>
      <c r="C139" s="9" t="s">
        <v>36</v>
      </c>
      <c r="D139" s="9" t="s">
        <v>24</v>
      </c>
      <c r="E139" s="11" t="s">
        <v>75</v>
      </c>
      <c r="F139" s="9">
        <v>39</v>
      </c>
      <c r="G139" s="7">
        <v>1070</v>
      </c>
      <c r="H139" s="7">
        <v>41730</v>
      </c>
      <c r="I139" s="7">
        <v>7511.4</v>
      </c>
      <c r="J139" s="7">
        <v>385</v>
      </c>
      <c r="K139" s="12">
        <v>0</v>
      </c>
      <c r="L139" s="7">
        <v>33833.599999999999</v>
      </c>
      <c r="M139" s="9" t="s">
        <v>21</v>
      </c>
      <c r="N139" s="9">
        <v>3.2</v>
      </c>
      <c r="O139" s="9" t="s">
        <v>59</v>
      </c>
      <c r="P139" s="7">
        <v>52505.919999999998</v>
      </c>
      <c r="Q139" s="13">
        <v>81.08</v>
      </c>
    </row>
    <row r="140" spans="1:17" x14ac:dyDescent="0.3">
      <c r="A140" s="2" t="s">
        <v>189</v>
      </c>
      <c r="B140" s="3">
        <v>45991</v>
      </c>
      <c r="C140" s="2" t="s">
        <v>39</v>
      </c>
      <c r="D140" s="2" t="s">
        <v>32</v>
      </c>
      <c r="E140" s="4" t="s">
        <v>43</v>
      </c>
      <c r="F140" s="2">
        <v>29</v>
      </c>
      <c r="G140" s="5">
        <v>816</v>
      </c>
      <c r="H140" s="5">
        <v>23664</v>
      </c>
      <c r="I140" s="5">
        <v>4259.5200000000004</v>
      </c>
      <c r="J140" s="5">
        <v>254</v>
      </c>
      <c r="K140" s="6">
        <v>15</v>
      </c>
      <c r="L140" s="5">
        <v>15600.88</v>
      </c>
      <c r="M140" s="2" t="s">
        <v>52</v>
      </c>
      <c r="N140" s="2">
        <v>4.7</v>
      </c>
      <c r="O140" s="2" t="s">
        <v>22</v>
      </c>
      <c r="P140" s="7">
        <v>42332.05</v>
      </c>
      <c r="Q140" s="8">
        <v>65.930000000000007</v>
      </c>
    </row>
    <row r="141" spans="1:17" x14ac:dyDescent="0.3">
      <c r="A141" s="9" t="s">
        <v>190</v>
      </c>
      <c r="B141" s="10">
        <v>45870</v>
      </c>
      <c r="C141" s="9" t="s">
        <v>18</v>
      </c>
      <c r="D141" s="9" t="s">
        <v>40</v>
      </c>
      <c r="E141" s="11" t="s">
        <v>43</v>
      </c>
      <c r="F141" s="9">
        <v>21</v>
      </c>
      <c r="G141" s="7">
        <v>330</v>
      </c>
      <c r="H141" s="7">
        <v>6930</v>
      </c>
      <c r="I141" s="7">
        <v>1247.4000000000001</v>
      </c>
      <c r="J141" s="7">
        <v>292</v>
      </c>
      <c r="K141" s="12">
        <v>10</v>
      </c>
      <c r="L141" s="7">
        <v>4697.6000000000004</v>
      </c>
      <c r="M141" s="9" t="s">
        <v>26</v>
      </c>
      <c r="N141" s="9">
        <v>4.4000000000000004</v>
      </c>
      <c r="O141" s="9" t="s">
        <v>53</v>
      </c>
      <c r="P141" s="7">
        <v>17090.91</v>
      </c>
      <c r="Q141" s="13">
        <v>67.790000000000006</v>
      </c>
    </row>
    <row r="142" spans="1:17" x14ac:dyDescent="0.3">
      <c r="A142" s="2" t="s">
        <v>191</v>
      </c>
      <c r="B142" s="3">
        <v>45692</v>
      </c>
      <c r="C142" s="2" t="s">
        <v>18</v>
      </c>
      <c r="D142" s="2" t="s">
        <v>19</v>
      </c>
      <c r="E142" s="4" t="s">
        <v>58</v>
      </c>
      <c r="F142" s="2">
        <v>28</v>
      </c>
      <c r="G142" s="5">
        <v>1149</v>
      </c>
      <c r="H142" s="5">
        <v>32172</v>
      </c>
      <c r="I142" s="5">
        <v>5790.96</v>
      </c>
      <c r="J142" s="5">
        <v>350</v>
      </c>
      <c r="K142" s="6">
        <v>10</v>
      </c>
      <c r="L142" s="5">
        <v>22813.84</v>
      </c>
      <c r="M142" s="2" t="s">
        <v>26</v>
      </c>
      <c r="N142" s="2">
        <v>4.0999999999999996</v>
      </c>
      <c r="O142" s="2" t="s">
        <v>44</v>
      </c>
      <c r="P142" s="7">
        <v>54478.99</v>
      </c>
      <c r="Q142" s="8">
        <v>70.91</v>
      </c>
    </row>
    <row r="143" spans="1:17" x14ac:dyDescent="0.3">
      <c r="A143" s="9" t="s">
        <v>192</v>
      </c>
      <c r="B143" s="10">
        <v>45945</v>
      </c>
      <c r="C143" s="9" t="s">
        <v>39</v>
      </c>
      <c r="D143" s="9" t="s">
        <v>40</v>
      </c>
      <c r="E143" s="11" t="s">
        <v>58</v>
      </c>
      <c r="F143" s="9">
        <v>27</v>
      </c>
      <c r="G143" s="7">
        <v>381</v>
      </c>
      <c r="H143" s="7">
        <v>10287</v>
      </c>
      <c r="I143" s="7">
        <v>1851.66</v>
      </c>
      <c r="J143" s="7">
        <v>197</v>
      </c>
      <c r="K143" s="12">
        <v>15</v>
      </c>
      <c r="L143" s="7">
        <v>6695.29</v>
      </c>
      <c r="M143" s="9" t="s">
        <v>21</v>
      </c>
      <c r="N143" s="9">
        <v>3.1</v>
      </c>
      <c r="O143" s="9" t="s">
        <v>27</v>
      </c>
      <c r="P143" s="7">
        <v>15742.55</v>
      </c>
      <c r="Q143" s="13">
        <v>65.08</v>
      </c>
    </row>
    <row r="144" spans="1:17" x14ac:dyDescent="0.3">
      <c r="A144" s="2" t="s">
        <v>193</v>
      </c>
      <c r="B144" s="3">
        <v>45965</v>
      </c>
      <c r="C144" s="2" t="s">
        <v>36</v>
      </c>
      <c r="D144" s="2" t="s">
        <v>40</v>
      </c>
      <c r="E144" s="4" t="s">
        <v>58</v>
      </c>
      <c r="F144" s="2">
        <v>37</v>
      </c>
      <c r="G144" s="5">
        <v>459</v>
      </c>
      <c r="H144" s="5">
        <v>16983</v>
      </c>
      <c r="I144" s="5">
        <v>3056.94</v>
      </c>
      <c r="J144" s="5">
        <v>164</v>
      </c>
      <c r="K144" s="6">
        <v>5</v>
      </c>
      <c r="L144" s="5">
        <v>12912.91</v>
      </c>
      <c r="M144" s="2" t="s">
        <v>26</v>
      </c>
      <c r="N144" s="2">
        <v>4.3</v>
      </c>
      <c r="O144" s="2" t="s">
        <v>22</v>
      </c>
      <c r="P144" s="7">
        <v>13522.46</v>
      </c>
      <c r="Q144" s="8">
        <v>76.03</v>
      </c>
    </row>
    <row r="145" spans="1:17" x14ac:dyDescent="0.3">
      <c r="A145" s="9" t="s">
        <v>194</v>
      </c>
      <c r="B145" s="10">
        <v>45713</v>
      </c>
      <c r="C145" s="9" t="s">
        <v>36</v>
      </c>
      <c r="D145" s="9" t="s">
        <v>40</v>
      </c>
      <c r="E145" s="11" t="s">
        <v>58</v>
      </c>
      <c r="F145" s="9">
        <v>49</v>
      </c>
      <c r="G145" s="7">
        <v>342</v>
      </c>
      <c r="H145" s="7">
        <v>16758</v>
      </c>
      <c r="I145" s="7">
        <v>3016.44</v>
      </c>
      <c r="J145" s="7">
        <v>482</v>
      </c>
      <c r="K145" s="12">
        <v>20</v>
      </c>
      <c r="L145" s="7">
        <v>9907.9599999999991</v>
      </c>
      <c r="M145" s="9" t="s">
        <v>26</v>
      </c>
      <c r="N145" s="9">
        <v>4.5999999999999996</v>
      </c>
      <c r="O145" s="9" t="s">
        <v>44</v>
      </c>
      <c r="P145" s="7">
        <v>15630.29</v>
      </c>
      <c r="Q145" s="13">
        <v>59.12</v>
      </c>
    </row>
    <row r="146" spans="1:17" x14ac:dyDescent="0.3">
      <c r="A146" s="2" t="s">
        <v>195</v>
      </c>
      <c r="B146" s="3">
        <v>45945</v>
      </c>
      <c r="C146" s="2" t="s">
        <v>39</v>
      </c>
      <c r="D146" s="2" t="s">
        <v>19</v>
      </c>
      <c r="E146" s="4" t="s">
        <v>41</v>
      </c>
      <c r="F146" s="2">
        <v>43</v>
      </c>
      <c r="G146" s="5">
        <v>1236</v>
      </c>
      <c r="H146" s="5">
        <v>53148</v>
      </c>
      <c r="I146" s="5">
        <v>9566.64</v>
      </c>
      <c r="J146" s="5">
        <v>440</v>
      </c>
      <c r="K146" s="6">
        <v>0</v>
      </c>
      <c r="L146" s="5">
        <v>43141.36</v>
      </c>
      <c r="M146" s="2" t="s">
        <v>26</v>
      </c>
      <c r="N146" s="2">
        <v>3.5</v>
      </c>
      <c r="O146" s="2" t="s">
        <v>27</v>
      </c>
      <c r="P146" s="7">
        <v>62829</v>
      </c>
      <c r="Q146" s="8">
        <v>81.17</v>
      </c>
    </row>
    <row r="147" spans="1:17" x14ac:dyDescent="0.3">
      <c r="A147" s="9" t="s">
        <v>196</v>
      </c>
      <c r="B147" s="10">
        <v>45816</v>
      </c>
      <c r="C147" s="9" t="s">
        <v>36</v>
      </c>
      <c r="D147" s="9" t="s">
        <v>40</v>
      </c>
      <c r="E147" s="11" t="s">
        <v>25</v>
      </c>
      <c r="F147" s="9">
        <v>12</v>
      </c>
      <c r="G147" s="7">
        <v>273</v>
      </c>
      <c r="H147" s="7">
        <v>3276</v>
      </c>
      <c r="I147" s="7">
        <v>589.67999999999995</v>
      </c>
      <c r="J147" s="7">
        <v>122</v>
      </c>
      <c r="K147" s="12">
        <v>20</v>
      </c>
      <c r="L147" s="7">
        <v>1909.12</v>
      </c>
      <c r="M147" s="9" t="s">
        <v>21</v>
      </c>
      <c r="N147" s="9">
        <v>3.8</v>
      </c>
      <c r="O147" s="9" t="s">
        <v>63</v>
      </c>
      <c r="P147" s="7">
        <v>16093.57</v>
      </c>
      <c r="Q147" s="13">
        <v>58.28</v>
      </c>
    </row>
    <row r="148" spans="1:17" x14ac:dyDescent="0.3">
      <c r="A148" s="2" t="s">
        <v>197</v>
      </c>
      <c r="B148" s="3">
        <v>45982</v>
      </c>
      <c r="C148" s="2" t="s">
        <v>18</v>
      </c>
      <c r="D148" s="2" t="s">
        <v>19</v>
      </c>
      <c r="E148" s="4" t="s">
        <v>75</v>
      </c>
      <c r="F148" s="2">
        <v>14</v>
      </c>
      <c r="G148" s="5">
        <v>1292</v>
      </c>
      <c r="H148" s="5">
        <v>18088</v>
      </c>
      <c r="I148" s="5">
        <v>3255.84</v>
      </c>
      <c r="J148" s="5">
        <v>239</v>
      </c>
      <c r="K148" s="6">
        <v>15</v>
      </c>
      <c r="L148" s="5">
        <v>11879.96</v>
      </c>
      <c r="M148" s="2" t="s">
        <v>52</v>
      </c>
      <c r="N148" s="2">
        <v>3.7</v>
      </c>
      <c r="O148" s="2" t="s">
        <v>22</v>
      </c>
      <c r="P148" s="7">
        <v>66592.97</v>
      </c>
      <c r="Q148" s="8">
        <v>65.680000000000007</v>
      </c>
    </row>
    <row r="149" spans="1:17" x14ac:dyDescent="0.3">
      <c r="A149" s="9" t="s">
        <v>198</v>
      </c>
      <c r="B149" s="10">
        <v>45817</v>
      </c>
      <c r="C149" s="9" t="s">
        <v>36</v>
      </c>
      <c r="D149" s="9" t="s">
        <v>19</v>
      </c>
      <c r="E149" s="11" t="s">
        <v>25</v>
      </c>
      <c r="F149" s="9">
        <v>10</v>
      </c>
      <c r="G149" s="7">
        <v>1180</v>
      </c>
      <c r="H149" s="7">
        <v>11800</v>
      </c>
      <c r="I149" s="7">
        <v>2124</v>
      </c>
      <c r="J149" s="7">
        <v>189</v>
      </c>
      <c r="K149" s="12">
        <v>20</v>
      </c>
      <c r="L149" s="7">
        <v>7127</v>
      </c>
      <c r="M149" s="9" t="s">
        <v>26</v>
      </c>
      <c r="N149" s="9">
        <v>4.3</v>
      </c>
      <c r="O149" s="9" t="s">
        <v>63</v>
      </c>
      <c r="P149" s="7">
        <v>55162.26</v>
      </c>
      <c r="Q149" s="13">
        <v>60.4</v>
      </c>
    </row>
    <row r="150" spans="1:17" x14ac:dyDescent="0.3">
      <c r="A150" s="2" t="s">
        <v>199</v>
      </c>
      <c r="B150" s="3">
        <v>45884</v>
      </c>
      <c r="C150" s="2" t="s">
        <v>55</v>
      </c>
      <c r="D150" s="2" t="s">
        <v>24</v>
      </c>
      <c r="E150" s="4" t="s">
        <v>41</v>
      </c>
      <c r="F150" s="2">
        <v>29</v>
      </c>
      <c r="G150" s="5">
        <v>1062</v>
      </c>
      <c r="H150" s="5">
        <v>30798</v>
      </c>
      <c r="I150" s="5">
        <v>5543.6399999999994</v>
      </c>
      <c r="J150" s="5">
        <v>108</v>
      </c>
      <c r="K150" s="6">
        <v>10</v>
      </c>
      <c r="L150" s="5">
        <v>22066.560000000001</v>
      </c>
      <c r="M150" s="2" t="s">
        <v>26</v>
      </c>
      <c r="N150" s="2">
        <v>4.5</v>
      </c>
      <c r="O150" s="2" t="s">
        <v>53</v>
      </c>
      <c r="P150" s="7">
        <v>55407.58</v>
      </c>
      <c r="Q150" s="8">
        <v>71.650000000000006</v>
      </c>
    </row>
    <row r="151" spans="1:17" x14ac:dyDescent="0.3">
      <c r="A151" s="9" t="s">
        <v>200</v>
      </c>
      <c r="B151" s="10">
        <v>45834</v>
      </c>
      <c r="C151" s="9" t="s">
        <v>55</v>
      </c>
      <c r="D151" s="9" t="s">
        <v>19</v>
      </c>
      <c r="E151" s="11" t="s">
        <v>20</v>
      </c>
      <c r="F151" s="9">
        <v>44</v>
      </c>
      <c r="G151" s="7">
        <v>1349</v>
      </c>
      <c r="H151" s="7">
        <v>59356</v>
      </c>
      <c r="I151" s="7">
        <v>10684.08</v>
      </c>
      <c r="J151" s="7">
        <v>162</v>
      </c>
      <c r="K151" s="12">
        <v>20</v>
      </c>
      <c r="L151" s="7">
        <v>36638.720000000001</v>
      </c>
      <c r="M151" s="9" t="s">
        <v>21</v>
      </c>
      <c r="N151" s="9">
        <v>3.6</v>
      </c>
      <c r="O151" s="9" t="s">
        <v>63</v>
      </c>
      <c r="P151" s="7">
        <v>57219.65</v>
      </c>
      <c r="Q151" s="13">
        <v>61.73</v>
      </c>
    </row>
    <row r="152" spans="1:17" x14ac:dyDescent="0.3">
      <c r="A152" s="2" t="s">
        <v>201</v>
      </c>
      <c r="B152" s="3">
        <v>45860</v>
      </c>
      <c r="C152" s="2" t="s">
        <v>39</v>
      </c>
      <c r="D152" s="2" t="s">
        <v>19</v>
      </c>
      <c r="E152" s="4" t="s">
        <v>25</v>
      </c>
      <c r="F152" s="2">
        <v>14</v>
      </c>
      <c r="G152" s="5">
        <v>1254</v>
      </c>
      <c r="H152" s="5">
        <v>17556</v>
      </c>
      <c r="I152" s="5">
        <v>3160.08</v>
      </c>
      <c r="J152" s="5">
        <v>198</v>
      </c>
      <c r="K152" s="6">
        <v>5</v>
      </c>
      <c r="L152" s="5">
        <v>13320.12</v>
      </c>
      <c r="M152" s="2" t="s">
        <v>26</v>
      </c>
      <c r="N152" s="2">
        <v>4.5</v>
      </c>
      <c r="O152" s="2" t="s">
        <v>48</v>
      </c>
      <c r="P152" s="7">
        <v>58198.21</v>
      </c>
      <c r="Q152" s="8">
        <v>75.87</v>
      </c>
    </row>
    <row r="153" spans="1:17" x14ac:dyDescent="0.3">
      <c r="A153" s="9" t="s">
        <v>202</v>
      </c>
      <c r="B153" s="10">
        <v>45825</v>
      </c>
      <c r="C153" s="9" t="s">
        <v>18</v>
      </c>
      <c r="D153" s="9" t="s">
        <v>19</v>
      </c>
      <c r="E153" s="11" t="s">
        <v>37</v>
      </c>
      <c r="F153" s="9">
        <v>48</v>
      </c>
      <c r="G153" s="7">
        <v>1320</v>
      </c>
      <c r="H153" s="7">
        <v>63360</v>
      </c>
      <c r="I153" s="7">
        <v>11404.8</v>
      </c>
      <c r="J153" s="7">
        <v>410</v>
      </c>
      <c r="K153" s="12">
        <v>5</v>
      </c>
      <c r="L153" s="7">
        <v>48377.2</v>
      </c>
      <c r="M153" s="9" t="s">
        <v>26</v>
      </c>
      <c r="N153" s="9">
        <v>3.8</v>
      </c>
      <c r="O153" s="9" t="s">
        <v>63</v>
      </c>
      <c r="P153" s="7">
        <v>53021.98</v>
      </c>
      <c r="Q153" s="13">
        <v>76.349999999999994</v>
      </c>
    </row>
    <row r="154" spans="1:17" x14ac:dyDescent="0.3">
      <c r="A154" s="2" t="s">
        <v>203</v>
      </c>
      <c r="B154" s="3">
        <v>45775</v>
      </c>
      <c r="C154" s="2" t="s">
        <v>39</v>
      </c>
      <c r="D154" s="2" t="s">
        <v>40</v>
      </c>
      <c r="E154" s="4" t="s">
        <v>58</v>
      </c>
      <c r="F154" s="2">
        <v>26</v>
      </c>
      <c r="G154" s="5">
        <v>221</v>
      </c>
      <c r="H154" s="5">
        <v>5746</v>
      </c>
      <c r="I154" s="5">
        <v>1034.28</v>
      </c>
      <c r="J154" s="5">
        <v>89</v>
      </c>
      <c r="K154" s="6">
        <v>15</v>
      </c>
      <c r="L154" s="5">
        <v>3760.82</v>
      </c>
      <c r="M154" s="2" t="s">
        <v>26</v>
      </c>
      <c r="N154" s="2">
        <v>3.9</v>
      </c>
      <c r="O154" s="2" t="s">
        <v>69</v>
      </c>
      <c r="P154" s="7">
        <v>15142.87</v>
      </c>
      <c r="Q154" s="8">
        <v>65.45</v>
      </c>
    </row>
    <row r="155" spans="1:17" x14ac:dyDescent="0.3">
      <c r="A155" s="9" t="s">
        <v>204</v>
      </c>
      <c r="B155" s="10">
        <v>45818</v>
      </c>
      <c r="C155" s="9" t="s">
        <v>39</v>
      </c>
      <c r="D155" s="9" t="s">
        <v>24</v>
      </c>
      <c r="E155" s="11" t="s">
        <v>41</v>
      </c>
      <c r="F155" s="9">
        <v>26</v>
      </c>
      <c r="G155" s="7">
        <v>1063</v>
      </c>
      <c r="H155" s="7">
        <v>27638</v>
      </c>
      <c r="I155" s="7">
        <v>4974.84</v>
      </c>
      <c r="J155" s="7">
        <v>216</v>
      </c>
      <c r="K155" s="12">
        <v>10</v>
      </c>
      <c r="L155" s="7">
        <v>19683.36</v>
      </c>
      <c r="M155" s="9" t="s">
        <v>26</v>
      </c>
      <c r="N155" s="9">
        <v>3.8</v>
      </c>
      <c r="O155" s="9" t="s">
        <v>63</v>
      </c>
      <c r="P155" s="7">
        <v>42519.39</v>
      </c>
      <c r="Q155" s="13">
        <v>71.22</v>
      </c>
    </row>
    <row r="156" spans="1:17" x14ac:dyDescent="0.3">
      <c r="A156" s="2" t="s">
        <v>205</v>
      </c>
      <c r="B156" s="3">
        <v>45745</v>
      </c>
      <c r="C156" s="2" t="s">
        <v>39</v>
      </c>
      <c r="D156" s="2" t="s">
        <v>24</v>
      </c>
      <c r="E156" s="4" t="s">
        <v>33</v>
      </c>
      <c r="F156" s="2">
        <v>6</v>
      </c>
      <c r="G156" s="5">
        <v>1073</v>
      </c>
      <c r="H156" s="5">
        <v>6438</v>
      </c>
      <c r="I156" s="5">
        <v>1158.8399999999999</v>
      </c>
      <c r="J156" s="5">
        <v>255</v>
      </c>
      <c r="K156" s="6">
        <v>0</v>
      </c>
      <c r="L156" s="5">
        <v>5024.16</v>
      </c>
      <c r="M156" s="2" t="s">
        <v>26</v>
      </c>
      <c r="N156" s="2">
        <v>3.9</v>
      </c>
      <c r="O156" s="2" t="s">
        <v>66</v>
      </c>
      <c r="P156" s="7">
        <v>47158.02</v>
      </c>
      <c r="Q156" s="8">
        <v>78.040000000000006</v>
      </c>
    </row>
    <row r="157" spans="1:17" x14ac:dyDescent="0.3">
      <c r="A157" s="9" t="s">
        <v>206</v>
      </c>
      <c r="B157" s="10">
        <v>45926</v>
      </c>
      <c r="C157" s="9" t="s">
        <v>18</v>
      </c>
      <c r="D157" s="9" t="s">
        <v>24</v>
      </c>
      <c r="E157" s="11" t="s">
        <v>20</v>
      </c>
      <c r="F157" s="9">
        <v>48</v>
      </c>
      <c r="G157" s="7">
        <v>1023</v>
      </c>
      <c r="H157" s="7">
        <v>49104</v>
      </c>
      <c r="I157" s="7">
        <v>8838.7199999999993</v>
      </c>
      <c r="J157" s="7">
        <v>89</v>
      </c>
      <c r="K157" s="12">
        <v>5</v>
      </c>
      <c r="L157" s="7">
        <v>37721.08</v>
      </c>
      <c r="M157" s="9" t="s">
        <v>52</v>
      </c>
      <c r="N157" s="9">
        <v>4.5999999999999996</v>
      </c>
      <c r="O157" s="9" t="s">
        <v>59</v>
      </c>
      <c r="P157" s="7">
        <v>52584.51</v>
      </c>
      <c r="Q157" s="13">
        <v>76.819999999999993</v>
      </c>
    </row>
    <row r="158" spans="1:17" x14ac:dyDescent="0.3">
      <c r="A158" s="2" t="s">
        <v>207</v>
      </c>
      <c r="B158" s="3">
        <v>45919</v>
      </c>
      <c r="C158" s="2" t="s">
        <v>18</v>
      </c>
      <c r="D158" s="2" t="s">
        <v>32</v>
      </c>
      <c r="E158" s="4" t="s">
        <v>33</v>
      </c>
      <c r="F158" s="2">
        <v>23</v>
      </c>
      <c r="G158" s="5">
        <v>775</v>
      </c>
      <c r="H158" s="5">
        <v>17825</v>
      </c>
      <c r="I158" s="5">
        <v>3208.5</v>
      </c>
      <c r="J158" s="5">
        <v>151</v>
      </c>
      <c r="K158" s="6">
        <v>5</v>
      </c>
      <c r="L158" s="5">
        <v>13574.25</v>
      </c>
      <c r="M158" s="2" t="s">
        <v>26</v>
      </c>
      <c r="N158" s="2">
        <v>3.3</v>
      </c>
      <c r="O158" s="2" t="s">
        <v>59</v>
      </c>
      <c r="P158" s="7">
        <v>42970.54</v>
      </c>
      <c r="Q158" s="8">
        <v>76.150000000000006</v>
      </c>
    </row>
    <row r="159" spans="1:17" x14ac:dyDescent="0.3">
      <c r="A159" s="9" t="s">
        <v>208</v>
      </c>
      <c r="B159" s="10">
        <v>45746</v>
      </c>
      <c r="C159" s="9" t="s">
        <v>39</v>
      </c>
      <c r="D159" s="9" t="s">
        <v>32</v>
      </c>
      <c r="E159" s="11" t="s">
        <v>58</v>
      </c>
      <c r="F159" s="9">
        <v>12</v>
      </c>
      <c r="G159" s="7">
        <v>952</v>
      </c>
      <c r="H159" s="7">
        <v>11424</v>
      </c>
      <c r="I159" s="7">
        <v>2056.3200000000002</v>
      </c>
      <c r="J159" s="7">
        <v>279</v>
      </c>
      <c r="K159" s="12">
        <v>15</v>
      </c>
      <c r="L159" s="7">
        <v>7375.08</v>
      </c>
      <c r="M159" s="9" t="s">
        <v>21</v>
      </c>
      <c r="N159" s="9">
        <v>4.5</v>
      </c>
      <c r="O159" s="9" t="s">
        <v>66</v>
      </c>
      <c r="P159" s="7">
        <v>36008.32</v>
      </c>
      <c r="Q159" s="13">
        <v>64.56</v>
      </c>
    </row>
    <row r="160" spans="1:17" x14ac:dyDescent="0.3">
      <c r="A160" s="2" t="s">
        <v>209</v>
      </c>
      <c r="B160" s="3">
        <v>46006</v>
      </c>
      <c r="C160" s="2" t="s">
        <v>39</v>
      </c>
      <c r="D160" s="2" t="s">
        <v>40</v>
      </c>
      <c r="E160" s="4" t="s">
        <v>33</v>
      </c>
      <c r="F160" s="2">
        <v>10</v>
      </c>
      <c r="G160" s="5">
        <v>425</v>
      </c>
      <c r="H160" s="5">
        <v>4250</v>
      </c>
      <c r="I160" s="5">
        <v>765</v>
      </c>
      <c r="J160" s="5">
        <v>205</v>
      </c>
      <c r="K160" s="6">
        <v>0</v>
      </c>
      <c r="L160" s="5">
        <v>3280</v>
      </c>
      <c r="M160" s="2" t="s">
        <v>52</v>
      </c>
      <c r="N160" s="2">
        <v>3.9</v>
      </c>
      <c r="O160" s="2" t="s">
        <v>46</v>
      </c>
      <c r="P160" s="7">
        <v>16281.92</v>
      </c>
      <c r="Q160" s="8">
        <v>77.180000000000007</v>
      </c>
    </row>
    <row r="161" spans="1:17" x14ac:dyDescent="0.3">
      <c r="A161" s="9" t="s">
        <v>210</v>
      </c>
      <c r="B161" s="10">
        <v>45798</v>
      </c>
      <c r="C161" s="9" t="s">
        <v>39</v>
      </c>
      <c r="D161" s="9" t="s">
        <v>19</v>
      </c>
      <c r="E161" s="11" t="s">
        <v>33</v>
      </c>
      <c r="F161" s="9">
        <v>33</v>
      </c>
      <c r="G161" s="7">
        <v>1137</v>
      </c>
      <c r="H161" s="7">
        <v>37521</v>
      </c>
      <c r="I161" s="7">
        <v>6753.78</v>
      </c>
      <c r="J161" s="7">
        <v>79</v>
      </c>
      <c r="K161" s="12">
        <v>10</v>
      </c>
      <c r="L161" s="7">
        <v>26936.12</v>
      </c>
      <c r="M161" s="9" t="s">
        <v>52</v>
      </c>
      <c r="N161" s="9">
        <v>3.9</v>
      </c>
      <c r="O161" s="9" t="s">
        <v>34</v>
      </c>
      <c r="P161" s="7">
        <v>58994.1</v>
      </c>
      <c r="Q161" s="13">
        <v>71.790000000000006</v>
      </c>
    </row>
    <row r="162" spans="1:17" x14ac:dyDescent="0.3">
      <c r="A162" s="2" t="s">
        <v>211</v>
      </c>
      <c r="B162" s="3">
        <v>45846</v>
      </c>
      <c r="C162" s="2" t="s">
        <v>36</v>
      </c>
      <c r="D162" s="2" t="s">
        <v>19</v>
      </c>
      <c r="E162" s="4" t="s">
        <v>58</v>
      </c>
      <c r="F162" s="2">
        <v>40</v>
      </c>
      <c r="G162" s="5">
        <v>1359</v>
      </c>
      <c r="H162" s="5">
        <v>54360</v>
      </c>
      <c r="I162" s="5">
        <v>9784.7999999999993</v>
      </c>
      <c r="J162" s="5">
        <v>455</v>
      </c>
      <c r="K162" s="6">
        <v>15</v>
      </c>
      <c r="L162" s="5">
        <v>35966.199999999997</v>
      </c>
      <c r="M162" s="2" t="s">
        <v>52</v>
      </c>
      <c r="N162" s="2">
        <v>4.2</v>
      </c>
      <c r="O162" s="2" t="s">
        <v>48</v>
      </c>
      <c r="P162" s="7">
        <v>54695.34</v>
      </c>
      <c r="Q162" s="8">
        <v>66.16</v>
      </c>
    </row>
    <row r="163" spans="1:17" x14ac:dyDescent="0.3">
      <c r="A163" s="9" t="s">
        <v>212</v>
      </c>
      <c r="B163" s="10">
        <v>45679</v>
      </c>
      <c r="C163" s="9" t="s">
        <v>55</v>
      </c>
      <c r="D163" s="9" t="s">
        <v>32</v>
      </c>
      <c r="E163" s="11" t="s">
        <v>33</v>
      </c>
      <c r="F163" s="9">
        <v>39</v>
      </c>
      <c r="G163" s="7">
        <v>943</v>
      </c>
      <c r="H163" s="7">
        <v>36777</v>
      </c>
      <c r="I163" s="7">
        <v>6619.86</v>
      </c>
      <c r="J163" s="7">
        <v>280</v>
      </c>
      <c r="K163" s="12">
        <v>20</v>
      </c>
      <c r="L163" s="7">
        <v>22521.74</v>
      </c>
      <c r="M163" s="9" t="s">
        <v>26</v>
      </c>
      <c r="N163" s="9">
        <v>4.9000000000000004</v>
      </c>
      <c r="O163" s="9" t="s">
        <v>79</v>
      </c>
      <c r="P163" s="7">
        <v>42982.92</v>
      </c>
      <c r="Q163" s="13">
        <v>61.24</v>
      </c>
    </row>
    <row r="164" spans="1:17" x14ac:dyDescent="0.3">
      <c r="A164" s="2" t="s">
        <v>213</v>
      </c>
      <c r="B164" s="3">
        <v>45710</v>
      </c>
      <c r="C164" s="2" t="s">
        <v>36</v>
      </c>
      <c r="D164" s="2" t="s">
        <v>19</v>
      </c>
      <c r="E164" s="4" t="s">
        <v>75</v>
      </c>
      <c r="F164" s="2">
        <v>42</v>
      </c>
      <c r="G164" s="5">
        <v>1188</v>
      </c>
      <c r="H164" s="5">
        <v>49896</v>
      </c>
      <c r="I164" s="5">
        <v>8981.2799999999988</v>
      </c>
      <c r="J164" s="5">
        <v>274</v>
      </c>
      <c r="K164" s="6">
        <v>0</v>
      </c>
      <c r="L164" s="5">
        <v>40640.720000000001</v>
      </c>
      <c r="M164" s="2" t="s">
        <v>26</v>
      </c>
      <c r="N164" s="2">
        <v>4.4000000000000004</v>
      </c>
      <c r="O164" s="2" t="s">
        <v>44</v>
      </c>
      <c r="P164" s="7">
        <v>64300.66</v>
      </c>
      <c r="Q164" s="8">
        <v>81.45</v>
      </c>
    </row>
    <row r="165" spans="1:17" x14ac:dyDescent="0.3">
      <c r="A165" s="9" t="s">
        <v>214</v>
      </c>
      <c r="B165" s="10">
        <v>45926</v>
      </c>
      <c r="C165" s="9" t="s">
        <v>39</v>
      </c>
      <c r="D165" s="9" t="s">
        <v>32</v>
      </c>
      <c r="E165" s="11" t="s">
        <v>33</v>
      </c>
      <c r="F165" s="9">
        <v>24</v>
      </c>
      <c r="G165" s="7">
        <v>844</v>
      </c>
      <c r="H165" s="7">
        <v>20256</v>
      </c>
      <c r="I165" s="7">
        <v>3646.08</v>
      </c>
      <c r="J165" s="7">
        <v>397</v>
      </c>
      <c r="K165" s="12">
        <v>15</v>
      </c>
      <c r="L165" s="7">
        <v>13174.52</v>
      </c>
      <c r="M165" s="9" t="s">
        <v>52</v>
      </c>
      <c r="N165" s="9">
        <v>4.5</v>
      </c>
      <c r="O165" s="9" t="s">
        <v>59</v>
      </c>
      <c r="P165" s="7">
        <v>39616.29</v>
      </c>
      <c r="Q165" s="13">
        <v>65.040000000000006</v>
      </c>
    </row>
    <row r="166" spans="1:17" x14ac:dyDescent="0.3">
      <c r="A166" s="2" t="s">
        <v>215</v>
      </c>
      <c r="B166" s="3">
        <v>45964</v>
      </c>
      <c r="C166" s="2" t="s">
        <v>18</v>
      </c>
      <c r="D166" s="2" t="s">
        <v>40</v>
      </c>
      <c r="E166" s="4" t="s">
        <v>58</v>
      </c>
      <c r="F166" s="2">
        <v>22</v>
      </c>
      <c r="G166" s="5">
        <v>248</v>
      </c>
      <c r="H166" s="5">
        <v>5456</v>
      </c>
      <c r="I166" s="5">
        <v>982.07999999999993</v>
      </c>
      <c r="J166" s="5">
        <v>179</v>
      </c>
      <c r="K166" s="6">
        <v>20</v>
      </c>
      <c r="L166" s="5">
        <v>3203.72</v>
      </c>
      <c r="M166" s="2" t="s">
        <v>21</v>
      </c>
      <c r="N166" s="2">
        <v>3.8</v>
      </c>
      <c r="O166" s="2" t="s">
        <v>22</v>
      </c>
      <c r="P166" s="7">
        <v>15139.64</v>
      </c>
      <c r="Q166" s="8">
        <v>58.72</v>
      </c>
    </row>
    <row r="167" spans="1:17" x14ac:dyDescent="0.3">
      <c r="A167" s="9" t="s">
        <v>216</v>
      </c>
      <c r="B167" s="10">
        <v>45994</v>
      </c>
      <c r="C167" s="9" t="s">
        <v>39</v>
      </c>
      <c r="D167" s="9" t="s">
        <v>32</v>
      </c>
      <c r="E167" s="11" t="s">
        <v>33</v>
      </c>
      <c r="F167" s="9">
        <v>6</v>
      </c>
      <c r="G167" s="7">
        <v>998</v>
      </c>
      <c r="H167" s="7">
        <v>5988</v>
      </c>
      <c r="I167" s="7">
        <v>1077.8399999999999</v>
      </c>
      <c r="J167" s="7">
        <v>385</v>
      </c>
      <c r="K167" s="12">
        <v>5</v>
      </c>
      <c r="L167" s="7">
        <v>4225.76</v>
      </c>
      <c r="M167" s="9" t="s">
        <v>52</v>
      </c>
      <c r="N167" s="9">
        <v>3.6</v>
      </c>
      <c r="O167" s="9" t="s">
        <v>46</v>
      </c>
      <c r="P167" s="7">
        <v>41437.65</v>
      </c>
      <c r="Q167" s="13">
        <v>70.569999999999993</v>
      </c>
    </row>
    <row r="168" spans="1:17" x14ac:dyDescent="0.3">
      <c r="A168" s="2" t="s">
        <v>217</v>
      </c>
      <c r="B168" s="3">
        <v>46015</v>
      </c>
      <c r="C168" s="2" t="s">
        <v>55</v>
      </c>
      <c r="D168" s="2" t="s">
        <v>32</v>
      </c>
      <c r="E168" s="4" t="s">
        <v>41</v>
      </c>
      <c r="F168" s="2">
        <v>46</v>
      </c>
      <c r="G168" s="5">
        <v>743</v>
      </c>
      <c r="H168" s="5">
        <v>34178</v>
      </c>
      <c r="I168" s="5">
        <v>6152.04</v>
      </c>
      <c r="J168" s="5">
        <v>455</v>
      </c>
      <c r="K168" s="6">
        <v>10</v>
      </c>
      <c r="L168" s="5">
        <v>24153.16</v>
      </c>
      <c r="M168" s="2" t="s">
        <v>21</v>
      </c>
      <c r="N168" s="2">
        <v>3.8</v>
      </c>
      <c r="O168" s="2" t="s">
        <v>46</v>
      </c>
      <c r="P168" s="7">
        <v>41580.339999999997</v>
      </c>
      <c r="Q168" s="8">
        <v>70.67</v>
      </c>
    </row>
    <row r="169" spans="1:17" x14ac:dyDescent="0.3">
      <c r="A169" s="9" t="s">
        <v>218</v>
      </c>
      <c r="B169" s="10">
        <v>45826</v>
      </c>
      <c r="C169" s="9" t="s">
        <v>29</v>
      </c>
      <c r="D169" s="9" t="s">
        <v>19</v>
      </c>
      <c r="E169" s="11" t="s">
        <v>43</v>
      </c>
      <c r="F169" s="9">
        <v>33</v>
      </c>
      <c r="G169" s="7">
        <v>1285</v>
      </c>
      <c r="H169" s="7">
        <v>42405</v>
      </c>
      <c r="I169" s="7">
        <v>7632.9</v>
      </c>
      <c r="J169" s="7">
        <v>159</v>
      </c>
      <c r="K169" s="12">
        <v>0</v>
      </c>
      <c r="L169" s="7">
        <v>34613.1</v>
      </c>
      <c r="M169" s="9" t="s">
        <v>52</v>
      </c>
      <c r="N169" s="9">
        <v>3.6</v>
      </c>
      <c r="O169" s="9" t="s">
        <v>63</v>
      </c>
      <c r="P169" s="7">
        <v>64770.75</v>
      </c>
      <c r="Q169" s="13">
        <v>81.63</v>
      </c>
    </row>
    <row r="170" spans="1:17" x14ac:dyDescent="0.3">
      <c r="A170" s="2" t="s">
        <v>219</v>
      </c>
      <c r="B170" s="3">
        <v>45832</v>
      </c>
      <c r="C170" s="2" t="s">
        <v>55</v>
      </c>
      <c r="D170" s="2" t="s">
        <v>32</v>
      </c>
      <c r="E170" s="4" t="s">
        <v>30</v>
      </c>
      <c r="F170" s="2">
        <v>9</v>
      </c>
      <c r="G170" s="5">
        <v>779</v>
      </c>
      <c r="H170" s="5">
        <v>7011</v>
      </c>
      <c r="I170" s="5">
        <v>1261.98</v>
      </c>
      <c r="J170" s="5">
        <v>101</v>
      </c>
      <c r="K170" s="6">
        <v>0</v>
      </c>
      <c r="L170" s="5">
        <v>5648.02</v>
      </c>
      <c r="M170" s="2" t="s">
        <v>52</v>
      </c>
      <c r="N170" s="2">
        <v>4.7</v>
      </c>
      <c r="O170" s="2" t="s">
        <v>63</v>
      </c>
      <c r="P170" s="7">
        <v>43227.23</v>
      </c>
      <c r="Q170" s="8">
        <v>80.56</v>
      </c>
    </row>
    <row r="171" spans="1:17" x14ac:dyDescent="0.3">
      <c r="A171" s="9" t="s">
        <v>220</v>
      </c>
      <c r="B171" s="10">
        <v>45917</v>
      </c>
      <c r="C171" s="9" t="s">
        <v>39</v>
      </c>
      <c r="D171" s="9" t="s">
        <v>19</v>
      </c>
      <c r="E171" s="11" t="s">
        <v>33</v>
      </c>
      <c r="F171" s="9">
        <v>50</v>
      </c>
      <c r="G171" s="7">
        <v>1167</v>
      </c>
      <c r="H171" s="7">
        <v>58350</v>
      </c>
      <c r="I171" s="7">
        <v>10503</v>
      </c>
      <c r="J171" s="7">
        <v>142</v>
      </c>
      <c r="K171" s="12">
        <v>20</v>
      </c>
      <c r="L171" s="7">
        <v>36035</v>
      </c>
      <c r="M171" s="9" t="s">
        <v>52</v>
      </c>
      <c r="N171" s="9">
        <v>3.3</v>
      </c>
      <c r="O171" s="9" t="s">
        <v>59</v>
      </c>
      <c r="P171" s="7">
        <v>54605.120000000003</v>
      </c>
      <c r="Q171" s="13">
        <v>61.76</v>
      </c>
    </row>
    <row r="172" spans="1:17" x14ac:dyDescent="0.3">
      <c r="A172" s="2" t="s">
        <v>221</v>
      </c>
      <c r="B172" s="3">
        <v>46012</v>
      </c>
      <c r="C172" s="2" t="s">
        <v>39</v>
      </c>
      <c r="D172" s="2" t="s">
        <v>32</v>
      </c>
      <c r="E172" s="4" t="s">
        <v>37</v>
      </c>
      <c r="F172" s="2">
        <v>3</v>
      </c>
      <c r="G172" s="5">
        <v>910</v>
      </c>
      <c r="H172" s="5">
        <v>2730</v>
      </c>
      <c r="I172" s="5">
        <v>491.4</v>
      </c>
      <c r="J172" s="5">
        <v>277</v>
      </c>
      <c r="K172" s="6">
        <v>10</v>
      </c>
      <c r="L172" s="5">
        <v>1688.6</v>
      </c>
      <c r="M172" s="2" t="s">
        <v>21</v>
      </c>
      <c r="N172" s="2">
        <v>4.4000000000000004</v>
      </c>
      <c r="O172" s="2" t="s">
        <v>46</v>
      </c>
      <c r="P172" s="7">
        <v>34247.410000000003</v>
      </c>
      <c r="Q172" s="8">
        <v>61.85</v>
      </c>
    </row>
    <row r="173" spans="1:17" x14ac:dyDescent="0.3">
      <c r="A173" s="9" t="s">
        <v>222</v>
      </c>
      <c r="B173" s="10">
        <v>45970</v>
      </c>
      <c r="C173" s="9" t="s">
        <v>36</v>
      </c>
      <c r="D173" s="9" t="s">
        <v>24</v>
      </c>
      <c r="E173" s="11" t="s">
        <v>30</v>
      </c>
      <c r="F173" s="9">
        <v>35</v>
      </c>
      <c r="G173" s="7">
        <v>972</v>
      </c>
      <c r="H173" s="7">
        <v>34020</v>
      </c>
      <c r="I173" s="7">
        <v>6123.5999999999995</v>
      </c>
      <c r="J173" s="7">
        <v>149</v>
      </c>
      <c r="K173" s="12">
        <v>10</v>
      </c>
      <c r="L173" s="7">
        <v>24345.4</v>
      </c>
      <c r="M173" s="9" t="s">
        <v>52</v>
      </c>
      <c r="N173" s="9">
        <v>4.8</v>
      </c>
      <c r="O173" s="9" t="s">
        <v>22</v>
      </c>
      <c r="P173" s="7">
        <v>44077.27</v>
      </c>
      <c r="Q173" s="13">
        <v>71.56</v>
      </c>
    </row>
    <row r="174" spans="1:17" x14ac:dyDescent="0.3">
      <c r="A174" s="2" t="s">
        <v>223</v>
      </c>
      <c r="B174" s="3">
        <v>45846</v>
      </c>
      <c r="C174" s="2" t="s">
        <v>39</v>
      </c>
      <c r="D174" s="2" t="s">
        <v>24</v>
      </c>
      <c r="E174" s="4" t="s">
        <v>37</v>
      </c>
      <c r="F174" s="2">
        <v>50</v>
      </c>
      <c r="G174" s="5">
        <v>994</v>
      </c>
      <c r="H174" s="5">
        <v>49700</v>
      </c>
      <c r="I174" s="5">
        <v>8946</v>
      </c>
      <c r="J174" s="5">
        <v>132</v>
      </c>
      <c r="K174" s="6">
        <v>15</v>
      </c>
      <c r="L174" s="5">
        <v>33167</v>
      </c>
      <c r="M174" s="2" t="s">
        <v>21</v>
      </c>
      <c r="N174" s="2">
        <v>4.0999999999999996</v>
      </c>
      <c r="O174" s="2" t="s">
        <v>48</v>
      </c>
      <c r="P174" s="7">
        <v>47112.52</v>
      </c>
      <c r="Q174" s="8">
        <v>66.73</v>
      </c>
    </row>
    <row r="175" spans="1:17" x14ac:dyDescent="0.3">
      <c r="A175" s="9" t="s">
        <v>224</v>
      </c>
      <c r="B175" s="10">
        <v>45760</v>
      </c>
      <c r="C175" s="9" t="s">
        <v>39</v>
      </c>
      <c r="D175" s="9" t="s">
        <v>32</v>
      </c>
      <c r="E175" s="11" t="s">
        <v>20</v>
      </c>
      <c r="F175" s="9">
        <v>4</v>
      </c>
      <c r="G175" s="7">
        <v>946</v>
      </c>
      <c r="H175" s="7">
        <v>3784</v>
      </c>
      <c r="I175" s="7">
        <v>681.12</v>
      </c>
      <c r="J175" s="7">
        <v>414</v>
      </c>
      <c r="K175" s="12">
        <v>10</v>
      </c>
      <c r="L175" s="7">
        <v>2310.48</v>
      </c>
      <c r="M175" s="9" t="s">
        <v>21</v>
      </c>
      <c r="N175" s="9">
        <v>4.9000000000000004</v>
      </c>
      <c r="O175" s="9" t="s">
        <v>69</v>
      </c>
      <c r="P175" s="7">
        <v>40966.129999999997</v>
      </c>
      <c r="Q175" s="13">
        <v>61.06</v>
      </c>
    </row>
    <row r="176" spans="1:17" x14ac:dyDescent="0.3">
      <c r="A176" s="2" t="s">
        <v>225</v>
      </c>
      <c r="B176" s="3">
        <v>45922</v>
      </c>
      <c r="C176" s="2" t="s">
        <v>18</v>
      </c>
      <c r="D176" s="2" t="s">
        <v>40</v>
      </c>
      <c r="E176" s="4" t="s">
        <v>58</v>
      </c>
      <c r="F176" s="2">
        <v>49</v>
      </c>
      <c r="G176" s="5">
        <v>282</v>
      </c>
      <c r="H176" s="5">
        <v>13818</v>
      </c>
      <c r="I176" s="5">
        <v>2487.2399999999998</v>
      </c>
      <c r="J176" s="5">
        <v>125</v>
      </c>
      <c r="K176" s="6">
        <v>10</v>
      </c>
      <c r="L176" s="5">
        <v>9823.9600000000009</v>
      </c>
      <c r="M176" s="2" t="s">
        <v>52</v>
      </c>
      <c r="N176" s="2">
        <v>4.8</v>
      </c>
      <c r="O176" s="2" t="s">
        <v>59</v>
      </c>
      <c r="P176" s="7">
        <v>17075.12</v>
      </c>
      <c r="Q176" s="8">
        <v>71.099999999999994</v>
      </c>
    </row>
    <row r="177" spans="1:17" x14ac:dyDescent="0.3">
      <c r="A177" s="9" t="s">
        <v>226</v>
      </c>
      <c r="B177" s="10">
        <v>45881</v>
      </c>
      <c r="C177" s="9" t="s">
        <v>18</v>
      </c>
      <c r="D177" s="9" t="s">
        <v>32</v>
      </c>
      <c r="E177" s="11" t="s">
        <v>37</v>
      </c>
      <c r="F177" s="9">
        <v>23</v>
      </c>
      <c r="G177" s="7">
        <v>713</v>
      </c>
      <c r="H177" s="7">
        <v>16399</v>
      </c>
      <c r="I177" s="7">
        <v>2951.82</v>
      </c>
      <c r="J177" s="7">
        <v>241</v>
      </c>
      <c r="K177" s="12">
        <v>15</v>
      </c>
      <c r="L177" s="7">
        <v>10746.33</v>
      </c>
      <c r="M177" s="9" t="s">
        <v>26</v>
      </c>
      <c r="N177" s="9">
        <v>3.8</v>
      </c>
      <c r="O177" s="9" t="s">
        <v>53</v>
      </c>
      <c r="P177" s="7">
        <v>39001.279999999999</v>
      </c>
      <c r="Q177" s="13">
        <v>65.53</v>
      </c>
    </row>
    <row r="178" spans="1:17" x14ac:dyDescent="0.3">
      <c r="A178" s="2" t="s">
        <v>227</v>
      </c>
      <c r="B178" s="3">
        <v>45778</v>
      </c>
      <c r="C178" s="2" t="s">
        <v>55</v>
      </c>
      <c r="D178" s="2" t="s">
        <v>19</v>
      </c>
      <c r="E178" s="4" t="s">
        <v>33</v>
      </c>
      <c r="F178" s="2">
        <v>15</v>
      </c>
      <c r="G178" s="5">
        <v>1114</v>
      </c>
      <c r="H178" s="5">
        <v>16710</v>
      </c>
      <c r="I178" s="5">
        <v>3007.8</v>
      </c>
      <c r="J178" s="5">
        <v>382</v>
      </c>
      <c r="K178" s="6">
        <v>10</v>
      </c>
      <c r="L178" s="5">
        <v>11649.2</v>
      </c>
      <c r="M178" s="2" t="s">
        <v>26</v>
      </c>
      <c r="N178" s="2">
        <v>4.7</v>
      </c>
      <c r="O178" s="2" t="s">
        <v>34</v>
      </c>
      <c r="P178" s="7">
        <v>57646.080000000002</v>
      </c>
      <c r="Q178" s="8">
        <v>69.709999999999994</v>
      </c>
    </row>
    <row r="179" spans="1:17" x14ac:dyDescent="0.3">
      <c r="A179" s="9" t="s">
        <v>228</v>
      </c>
      <c r="B179" s="10">
        <v>45829</v>
      </c>
      <c r="C179" s="9" t="s">
        <v>29</v>
      </c>
      <c r="D179" s="9" t="s">
        <v>32</v>
      </c>
      <c r="E179" s="11" t="s">
        <v>25</v>
      </c>
      <c r="F179" s="9">
        <v>19</v>
      </c>
      <c r="G179" s="7">
        <v>941</v>
      </c>
      <c r="H179" s="7">
        <v>17879</v>
      </c>
      <c r="I179" s="7">
        <v>3218.22</v>
      </c>
      <c r="J179" s="7">
        <v>365</v>
      </c>
      <c r="K179" s="12">
        <v>5</v>
      </c>
      <c r="L179" s="7">
        <v>13401.83</v>
      </c>
      <c r="M179" s="9" t="s">
        <v>21</v>
      </c>
      <c r="N179" s="9">
        <v>3.9</v>
      </c>
      <c r="O179" s="9" t="s">
        <v>63</v>
      </c>
      <c r="P179" s="7">
        <v>40686.74</v>
      </c>
      <c r="Q179" s="13">
        <v>74.959999999999994</v>
      </c>
    </row>
    <row r="180" spans="1:17" x14ac:dyDescent="0.3">
      <c r="A180" s="2" t="s">
        <v>229</v>
      </c>
      <c r="B180" s="3">
        <v>45660</v>
      </c>
      <c r="C180" s="2" t="s">
        <v>18</v>
      </c>
      <c r="D180" s="2" t="s">
        <v>19</v>
      </c>
      <c r="E180" s="4" t="s">
        <v>20</v>
      </c>
      <c r="F180" s="2">
        <v>14</v>
      </c>
      <c r="G180" s="5">
        <v>1176</v>
      </c>
      <c r="H180" s="5">
        <v>16464</v>
      </c>
      <c r="I180" s="5">
        <v>2963.52</v>
      </c>
      <c r="J180" s="5">
        <v>266</v>
      </c>
      <c r="K180" s="6">
        <v>20</v>
      </c>
      <c r="L180" s="5">
        <v>9941.68</v>
      </c>
      <c r="M180" s="2" t="s">
        <v>21</v>
      </c>
      <c r="N180" s="2">
        <v>4.2</v>
      </c>
      <c r="O180" s="2" t="s">
        <v>79</v>
      </c>
      <c r="P180" s="7">
        <v>68069.63</v>
      </c>
      <c r="Q180" s="8">
        <v>60.38</v>
      </c>
    </row>
    <row r="181" spans="1:17" x14ac:dyDescent="0.3">
      <c r="A181" s="9" t="s">
        <v>230</v>
      </c>
      <c r="B181" s="10">
        <v>45714</v>
      </c>
      <c r="C181" s="9" t="s">
        <v>36</v>
      </c>
      <c r="D181" s="9" t="s">
        <v>32</v>
      </c>
      <c r="E181" s="11" t="s">
        <v>20</v>
      </c>
      <c r="F181" s="9">
        <v>8</v>
      </c>
      <c r="G181" s="7">
        <v>724</v>
      </c>
      <c r="H181" s="7">
        <v>5792</v>
      </c>
      <c r="I181" s="7">
        <v>1042.56</v>
      </c>
      <c r="J181" s="7">
        <v>368</v>
      </c>
      <c r="K181" s="12">
        <v>5</v>
      </c>
      <c r="L181" s="7">
        <v>4091.8400000000011</v>
      </c>
      <c r="M181" s="9" t="s">
        <v>52</v>
      </c>
      <c r="N181" s="9">
        <v>4.3</v>
      </c>
      <c r="O181" s="9" t="s">
        <v>44</v>
      </c>
      <c r="P181" s="7">
        <v>41056.14</v>
      </c>
      <c r="Q181" s="13">
        <v>70.650000000000006</v>
      </c>
    </row>
    <row r="182" spans="1:17" x14ac:dyDescent="0.3">
      <c r="A182" s="2" t="s">
        <v>231</v>
      </c>
      <c r="B182" s="3">
        <v>45892</v>
      </c>
      <c r="C182" s="2" t="s">
        <v>18</v>
      </c>
      <c r="D182" s="2" t="s">
        <v>19</v>
      </c>
      <c r="E182" s="4" t="s">
        <v>37</v>
      </c>
      <c r="F182" s="2">
        <v>39</v>
      </c>
      <c r="G182" s="5">
        <v>1374</v>
      </c>
      <c r="H182" s="5">
        <v>53586</v>
      </c>
      <c r="I182" s="5">
        <v>9645.48</v>
      </c>
      <c r="J182" s="5">
        <v>173</v>
      </c>
      <c r="K182" s="6">
        <v>0</v>
      </c>
      <c r="L182" s="5">
        <v>43767.519999999997</v>
      </c>
      <c r="M182" s="2" t="s">
        <v>21</v>
      </c>
      <c r="N182" s="2">
        <v>4</v>
      </c>
      <c r="O182" s="2" t="s">
        <v>53</v>
      </c>
      <c r="P182" s="7">
        <v>56313.11</v>
      </c>
      <c r="Q182" s="8">
        <v>81.680000000000007</v>
      </c>
    </row>
    <row r="183" spans="1:17" x14ac:dyDescent="0.3">
      <c r="A183" s="9" t="s">
        <v>232</v>
      </c>
      <c r="B183" s="10">
        <v>45731</v>
      </c>
      <c r="C183" s="9" t="s">
        <v>36</v>
      </c>
      <c r="D183" s="9" t="s">
        <v>24</v>
      </c>
      <c r="E183" s="11" t="s">
        <v>25</v>
      </c>
      <c r="F183" s="9">
        <v>40</v>
      </c>
      <c r="G183" s="7">
        <v>1030</v>
      </c>
      <c r="H183" s="7">
        <v>41200</v>
      </c>
      <c r="I183" s="7">
        <v>7416</v>
      </c>
      <c r="J183" s="7">
        <v>390</v>
      </c>
      <c r="K183" s="12">
        <v>5</v>
      </c>
      <c r="L183" s="7">
        <v>31334</v>
      </c>
      <c r="M183" s="9" t="s">
        <v>21</v>
      </c>
      <c r="N183" s="9">
        <v>3.8</v>
      </c>
      <c r="O183" s="9" t="s">
        <v>66</v>
      </c>
      <c r="P183" s="7">
        <v>53849.95</v>
      </c>
      <c r="Q183" s="13">
        <v>76.05</v>
      </c>
    </row>
    <row r="184" spans="1:17" x14ac:dyDescent="0.3">
      <c r="A184" s="2" t="s">
        <v>233</v>
      </c>
      <c r="B184" s="3">
        <v>46000</v>
      </c>
      <c r="C184" s="2" t="s">
        <v>18</v>
      </c>
      <c r="D184" s="2" t="s">
        <v>40</v>
      </c>
      <c r="E184" s="4" t="s">
        <v>58</v>
      </c>
      <c r="F184" s="2">
        <v>34</v>
      </c>
      <c r="G184" s="5">
        <v>478</v>
      </c>
      <c r="H184" s="5">
        <v>16252</v>
      </c>
      <c r="I184" s="5">
        <v>2925.36</v>
      </c>
      <c r="J184" s="5">
        <v>249</v>
      </c>
      <c r="K184" s="6">
        <v>20</v>
      </c>
      <c r="L184" s="5">
        <v>9827.24</v>
      </c>
      <c r="M184" s="2" t="s">
        <v>21</v>
      </c>
      <c r="N184" s="2">
        <v>4.0999999999999996</v>
      </c>
      <c r="O184" s="2" t="s">
        <v>46</v>
      </c>
      <c r="P184" s="7">
        <v>17213.189999999999</v>
      </c>
      <c r="Q184" s="8">
        <v>60.47</v>
      </c>
    </row>
    <row r="185" spans="1:17" x14ac:dyDescent="0.3">
      <c r="A185" s="9" t="s">
        <v>234</v>
      </c>
      <c r="B185" s="10">
        <v>45898</v>
      </c>
      <c r="C185" s="9" t="s">
        <v>18</v>
      </c>
      <c r="D185" s="9" t="s">
        <v>24</v>
      </c>
      <c r="E185" s="11" t="s">
        <v>33</v>
      </c>
      <c r="F185" s="9">
        <v>17</v>
      </c>
      <c r="G185" s="7">
        <v>858</v>
      </c>
      <c r="H185" s="7">
        <v>14586</v>
      </c>
      <c r="I185" s="7">
        <v>2625.48</v>
      </c>
      <c r="J185" s="7">
        <v>425</v>
      </c>
      <c r="K185" s="12">
        <v>10</v>
      </c>
      <c r="L185" s="7">
        <v>10076.92</v>
      </c>
      <c r="M185" s="9" t="s">
        <v>26</v>
      </c>
      <c r="N185" s="9">
        <v>3.7</v>
      </c>
      <c r="O185" s="9" t="s">
        <v>53</v>
      </c>
      <c r="P185" s="7">
        <v>54404.29</v>
      </c>
      <c r="Q185" s="13">
        <v>69.09</v>
      </c>
    </row>
    <row r="186" spans="1:17" x14ac:dyDescent="0.3">
      <c r="A186" s="2" t="s">
        <v>235</v>
      </c>
      <c r="B186" s="3">
        <v>45994</v>
      </c>
      <c r="C186" s="2" t="s">
        <v>18</v>
      </c>
      <c r="D186" s="2" t="s">
        <v>40</v>
      </c>
      <c r="E186" s="4" t="s">
        <v>51</v>
      </c>
      <c r="F186" s="2">
        <v>3</v>
      </c>
      <c r="G186" s="5">
        <v>380</v>
      </c>
      <c r="H186" s="5">
        <v>1140</v>
      </c>
      <c r="I186" s="5">
        <v>205.2</v>
      </c>
      <c r="J186" s="5">
        <v>139</v>
      </c>
      <c r="K186" s="6">
        <v>20</v>
      </c>
      <c r="L186" s="5">
        <v>567.79999999999995</v>
      </c>
      <c r="M186" s="2" t="s">
        <v>52</v>
      </c>
      <c r="N186" s="2">
        <v>4.5999999999999996</v>
      </c>
      <c r="O186" s="2" t="s">
        <v>46</v>
      </c>
      <c r="P186" s="7">
        <v>14543.01</v>
      </c>
      <c r="Q186" s="8">
        <v>49.81</v>
      </c>
    </row>
    <row r="187" spans="1:17" x14ac:dyDescent="0.3">
      <c r="A187" s="9" t="s">
        <v>236</v>
      </c>
      <c r="B187" s="10">
        <v>46008</v>
      </c>
      <c r="C187" s="9" t="s">
        <v>55</v>
      </c>
      <c r="D187" s="9" t="s">
        <v>24</v>
      </c>
      <c r="E187" s="11" t="s">
        <v>51</v>
      </c>
      <c r="F187" s="9">
        <v>9</v>
      </c>
      <c r="G187" s="7">
        <v>882</v>
      </c>
      <c r="H187" s="7">
        <v>7938</v>
      </c>
      <c r="I187" s="7">
        <v>1428.84</v>
      </c>
      <c r="J187" s="7">
        <v>72</v>
      </c>
      <c r="K187" s="12">
        <v>15</v>
      </c>
      <c r="L187" s="7">
        <v>5246.46</v>
      </c>
      <c r="M187" s="9" t="s">
        <v>26</v>
      </c>
      <c r="N187" s="9">
        <v>3.6</v>
      </c>
      <c r="O187" s="9" t="s">
        <v>46</v>
      </c>
      <c r="P187" s="7">
        <v>45083.79</v>
      </c>
      <c r="Q187" s="13">
        <v>66.09</v>
      </c>
    </row>
    <row r="188" spans="1:17" x14ac:dyDescent="0.3">
      <c r="A188" s="2" t="s">
        <v>237</v>
      </c>
      <c r="B188" s="3">
        <v>45760</v>
      </c>
      <c r="C188" s="2" t="s">
        <v>18</v>
      </c>
      <c r="D188" s="2" t="s">
        <v>40</v>
      </c>
      <c r="E188" s="4" t="s">
        <v>20</v>
      </c>
      <c r="F188" s="2">
        <v>33</v>
      </c>
      <c r="G188" s="5">
        <v>403</v>
      </c>
      <c r="H188" s="5">
        <v>13299</v>
      </c>
      <c r="I188" s="5">
        <v>2393.8200000000002</v>
      </c>
      <c r="J188" s="5">
        <v>435</v>
      </c>
      <c r="K188" s="6">
        <v>20</v>
      </c>
      <c r="L188" s="5">
        <v>7810.38</v>
      </c>
      <c r="M188" s="2" t="s">
        <v>52</v>
      </c>
      <c r="N188" s="2">
        <v>3.5</v>
      </c>
      <c r="O188" s="2" t="s">
        <v>69</v>
      </c>
      <c r="P188" s="7">
        <v>14823.7</v>
      </c>
      <c r="Q188" s="8">
        <v>58.73</v>
      </c>
    </row>
    <row r="189" spans="1:17" x14ac:dyDescent="0.3">
      <c r="A189" s="9" t="s">
        <v>238</v>
      </c>
      <c r="B189" s="10">
        <v>45989</v>
      </c>
      <c r="C189" s="9" t="s">
        <v>29</v>
      </c>
      <c r="D189" s="9" t="s">
        <v>40</v>
      </c>
      <c r="E189" s="11" t="s">
        <v>33</v>
      </c>
      <c r="F189" s="9">
        <v>50</v>
      </c>
      <c r="G189" s="7">
        <v>224</v>
      </c>
      <c r="H189" s="7">
        <v>11200</v>
      </c>
      <c r="I189" s="7">
        <v>2016</v>
      </c>
      <c r="J189" s="7">
        <v>238</v>
      </c>
      <c r="K189" s="12">
        <v>10</v>
      </c>
      <c r="L189" s="7">
        <v>7826</v>
      </c>
      <c r="M189" s="9" t="s">
        <v>52</v>
      </c>
      <c r="N189" s="9">
        <v>3.2</v>
      </c>
      <c r="O189" s="9" t="s">
        <v>22</v>
      </c>
      <c r="P189" s="7">
        <v>13328.11</v>
      </c>
      <c r="Q189" s="13">
        <v>69.88</v>
      </c>
    </row>
    <row r="190" spans="1:17" x14ac:dyDescent="0.3">
      <c r="A190" s="2" t="s">
        <v>239</v>
      </c>
      <c r="B190" s="3">
        <v>45881</v>
      </c>
      <c r="C190" s="2" t="s">
        <v>55</v>
      </c>
      <c r="D190" s="2" t="s">
        <v>24</v>
      </c>
      <c r="E190" s="4" t="s">
        <v>43</v>
      </c>
      <c r="F190" s="2">
        <v>22</v>
      </c>
      <c r="G190" s="5">
        <v>945</v>
      </c>
      <c r="H190" s="5">
        <v>20790</v>
      </c>
      <c r="I190" s="5">
        <v>3742.2</v>
      </c>
      <c r="J190" s="5">
        <v>458</v>
      </c>
      <c r="K190" s="6">
        <v>15</v>
      </c>
      <c r="L190" s="5">
        <v>13471.3</v>
      </c>
      <c r="M190" s="2" t="s">
        <v>21</v>
      </c>
      <c r="N190" s="2">
        <v>4</v>
      </c>
      <c r="O190" s="2" t="s">
        <v>53</v>
      </c>
      <c r="P190" s="7">
        <v>44459.95</v>
      </c>
      <c r="Q190" s="8">
        <v>64.8</v>
      </c>
    </row>
    <row r="191" spans="1:17" x14ac:dyDescent="0.3">
      <c r="A191" s="9" t="s">
        <v>240</v>
      </c>
      <c r="B191" s="10">
        <v>45923</v>
      </c>
      <c r="C191" s="9" t="s">
        <v>36</v>
      </c>
      <c r="D191" s="9" t="s">
        <v>19</v>
      </c>
      <c r="E191" s="11" t="s">
        <v>43</v>
      </c>
      <c r="F191" s="9">
        <v>6</v>
      </c>
      <c r="G191" s="7">
        <v>1320</v>
      </c>
      <c r="H191" s="7">
        <v>7920</v>
      </c>
      <c r="I191" s="7">
        <v>1425.6</v>
      </c>
      <c r="J191" s="7">
        <v>214</v>
      </c>
      <c r="K191" s="12">
        <v>20</v>
      </c>
      <c r="L191" s="7">
        <v>4696.3999999999996</v>
      </c>
      <c r="M191" s="9" t="s">
        <v>26</v>
      </c>
      <c r="N191" s="9">
        <v>4.0999999999999996</v>
      </c>
      <c r="O191" s="9" t="s">
        <v>59</v>
      </c>
      <c r="P191" s="7">
        <v>59037.87</v>
      </c>
      <c r="Q191" s="13">
        <v>59.3</v>
      </c>
    </row>
    <row r="192" spans="1:17" x14ac:dyDescent="0.3">
      <c r="A192" s="2" t="s">
        <v>241</v>
      </c>
      <c r="B192" s="3">
        <v>45710</v>
      </c>
      <c r="C192" s="2" t="s">
        <v>18</v>
      </c>
      <c r="D192" s="2" t="s">
        <v>40</v>
      </c>
      <c r="E192" s="4" t="s">
        <v>20</v>
      </c>
      <c r="F192" s="2">
        <v>20</v>
      </c>
      <c r="G192" s="5">
        <v>428</v>
      </c>
      <c r="H192" s="5">
        <v>8560</v>
      </c>
      <c r="I192" s="5">
        <v>1540.8</v>
      </c>
      <c r="J192" s="5">
        <v>403</v>
      </c>
      <c r="K192" s="6">
        <v>20</v>
      </c>
      <c r="L192" s="5">
        <v>4904.2</v>
      </c>
      <c r="M192" s="2" t="s">
        <v>21</v>
      </c>
      <c r="N192" s="2">
        <v>3.9</v>
      </c>
      <c r="O192" s="2" t="s">
        <v>44</v>
      </c>
      <c r="P192" s="7">
        <v>16576</v>
      </c>
      <c r="Q192" s="8">
        <v>57.29</v>
      </c>
    </row>
    <row r="193" spans="1:17" x14ac:dyDescent="0.3">
      <c r="A193" s="9" t="s">
        <v>242</v>
      </c>
      <c r="B193" s="10">
        <v>45885</v>
      </c>
      <c r="C193" s="9" t="s">
        <v>36</v>
      </c>
      <c r="D193" s="9" t="s">
        <v>24</v>
      </c>
      <c r="E193" s="11" t="s">
        <v>25</v>
      </c>
      <c r="F193" s="9">
        <v>47</v>
      </c>
      <c r="G193" s="7">
        <v>1030</v>
      </c>
      <c r="H193" s="7">
        <v>48410</v>
      </c>
      <c r="I193" s="7">
        <v>8713.7999999999993</v>
      </c>
      <c r="J193" s="7">
        <v>455</v>
      </c>
      <c r="K193" s="12">
        <v>20</v>
      </c>
      <c r="L193" s="7">
        <v>29559.200000000001</v>
      </c>
      <c r="M193" s="9" t="s">
        <v>52</v>
      </c>
      <c r="N193" s="9">
        <v>3.5</v>
      </c>
      <c r="O193" s="9" t="s">
        <v>53</v>
      </c>
      <c r="P193" s="7">
        <v>53027.61</v>
      </c>
      <c r="Q193" s="13">
        <v>61.06</v>
      </c>
    </row>
    <row r="194" spans="1:17" x14ac:dyDescent="0.3">
      <c r="A194" s="2" t="s">
        <v>243</v>
      </c>
      <c r="B194" s="3">
        <v>45687</v>
      </c>
      <c r="C194" s="2" t="s">
        <v>18</v>
      </c>
      <c r="D194" s="2" t="s">
        <v>24</v>
      </c>
      <c r="E194" s="4" t="s">
        <v>33</v>
      </c>
      <c r="F194" s="2">
        <v>33</v>
      </c>
      <c r="G194" s="5">
        <v>931</v>
      </c>
      <c r="H194" s="5">
        <v>30723</v>
      </c>
      <c r="I194" s="5">
        <v>5530.1399999999994</v>
      </c>
      <c r="J194" s="5">
        <v>397</v>
      </c>
      <c r="K194" s="6">
        <v>0</v>
      </c>
      <c r="L194" s="5">
        <v>24795.86</v>
      </c>
      <c r="M194" s="2" t="s">
        <v>26</v>
      </c>
      <c r="N194" s="2">
        <v>4.7</v>
      </c>
      <c r="O194" s="2" t="s">
        <v>79</v>
      </c>
      <c r="P194" s="7">
        <v>48772.45</v>
      </c>
      <c r="Q194" s="8">
        <v>80.709999999999994</v>
      </c>
    </row>
    <row r="195" spans="1:17" x14ac:dyDescent="0.3">
      <c r="A195" s="9" t="s">
        <v>244</v>
      </c>
      <c r="B195" s="10">
        <v>45882</v>
      </c>
      <c r="C195" s="9" t="s">
        <v>18</v>
      </c>
      <c r="D195" s="9" t="s">
        <v>32</v>
      </c>
      <c r="E195" s="11" t="s">
        <v>58</v>
      </c>
      <c r="F195" s="9">
        <v>16</v>
      </c>
      <c r="G195" s="7">
        <v>887</v>
      </c>
      <c r="H195" s="7">
        <v>14192</v>
      </c>
      <c r="I195" s="7">
        <v>2554.56</v>
      </c>
      <c r="J195" s="7">
        <v>66</v>
      </c>
      <c r="K195" s="12">
        <v>10</v>
      </c>
      <c r="L195" s="7">
        <v>10152.24</v>
      </c>
      <c r="M195" s="9" t="s">
        <v>52</v>
      </c>
      <c r="N195" s="9">
        <v>4.9000000000000004</v>
      </c>
      <c r="O195" s="9" t="s">
        <v>53</v>
      </c>
      <c r="P195" s="7">
        <v>45451.98</v>
      </c>
      <c r="Q195" s="13">
        <v>71.53</v>
      </c>
    </row>
    <row r="196" spans="1:17" x14ac:dyDescent="0.3">
      <c r="A196" s="2" t="s">
        <v>245</v>
      </c>
      <c r="B196" s="3">
        <v>45967</v>
      </c>
      <c r="C196" s="2" t="s">
        <v>29</v>
      </c>
      <c r="D196" s="2" t="s">
        <v>24</v>
      </c>
      <c r="E196" s="4" t="s">
        <v>33</v>
      </c>
      <c r="F196" s="2">
        <v>24</v>
      </c>
      <c r="G196" s="5">
        <v>1077</v>
      </c>
      <c r="H196" s="5">
        <v>25848</v>
      </c>
      <c r="I196" s="5">
        <v>4652.6399999999994</v>
      </c>
      <c r="J196" s="5">
        <v>237</v>
      </c>
      <c r="K196" s="6">
        <v>0</v>
      </c>
      <c r="L196" s="5">
        <v>20958.36</v>
      </c>
      <c r="M196" s="2" t="s">
        <v>21</v>
      </c>
      <c r="N196" s="2">
        <v>3.3</v>
      </c>
      <c r="O196" s="2" t="s">
        <v>22</v>
      </c>
      <c r="P196" s="7">
        <v>45182.51</v>
      </c>
      <c r="Q196" s="8">
        <v>81.08</v>
      </c>
    </row>
    <row r="197" spans="1:17" x14ac:dyDescent="0.3">
      <c r="A197" s="9" t="s">
        <v>246</v>
      </c>
      <c r="B197" s="10">
        <v>45861</v>
      </c>
      <c r="C197" s="9" t="s">
        <v>36</v>
      </c>
      <c r="D197" s="9" t="s">
        <v>40</v>
      </c>
      <c r="E197" s="11" t="s">
        <v>30</v>
      </c>
      <c r="F197" s="9">
        <v>8</v>
      </c>
      <c r="G197" s="7">
        <v>213</v>
      </c>
      <c r="H197" s="7">
        <v>1704</v>
      </c>
      <c r="I197" s="7">
        <v>306.72000000000003</v>
      </c>
      <c r="J197" s="7">
        <v>337</v>
      </c>
      <c r="K197" s="12">
        <v>5</v>
      </c>
      <c r="L197" s="7">
        <v>975.07999999999993</v>
      </c>
      <c r="M197" s="9" t="s">
        <v>52</v>
      </c>
      <c r="N197" s="9">
        <v>4</v>
      </c>
      <c r="O197" s="9" t="s">
        <v>48</v>
      </c>
      <c r="P197" s="7">
        <v>13875.75</v>
      </c>
      <c r="Q197" s="13">
        <v>57.22</v>
      </c>
    </row>
    <row r="198" spans="1:17" x14ac:dyDescent="0.3">
      <c r="A198" s="2" t="s">
        <v>247</v>
      </c>
      <c r="B198" s="3">
        <v>45718</v>
      </c>
      <c r="C198" s="2" t="s">
        <v>36</v>
      </c>
      <c r="D198" s="2" t="s">
        <v>40</v>
      </c>
      <c r="E198" s="4" t="s">
        <v>37</v>
      </c>
      <c r="F198" s="2">
        <v>14</v>
      </c>
      <c r="G198" s="5">
        <v>346</v>
      </c>
      <c r="H198" s="5">
        <v>4844</v>
      </c>
      <c r="I198" s="5">
        <v>871.92</v>
      </c>
      <c r="J198" s="5">
        <v>486</v>
      </c>
      <c r="K198" s="6">
        <v>15</v>
      </c>
      <c r="L198" s="5">
        <v>2759.48</v>
      </c>
      <c r="M198" s="2" t="s">
        <v>26</v>
      </c>
      <c r="N198" s="2">
        <v>3.2</v>
      </c>
      <c r="O198" s="2" t="s">
        <v>66</v>
      </c>
      <c r="P198" s="7">
        <v>13981.1</v>
      </c>
      <c r="Q198" s="8">
        <v>56.97</v>
      </c>
    </row>
    <row r="199" spans="1:17" x14ac:dyDescent="0.3">
      <c r="A199" s="9" t="s">
        <v>248</v>
      </c>
      <c r="B199" s="10">
        <v>45695</v>
      </c>
      <c r="C199" s="9" t="s">
        <v>55</v>
      </c>
      <c r="D199" s="9" t="s">
        <v>32</v>
      </c>
      <c r="E199" s="11" t="s">
        <v>37</v>
      </c>
      <c r="F199" s="9">
        <v>6</v>
      </c>
      <c r="G199" s="7">
        <v>863</v>
      </c>
      <c r="H199" s="7">
        <v>5178</v>
      </c>
      <c r="I199" s="7">
        <v>932.04</v>
      </c>
      <c r="J199" s="7">
        <v>327</v>
      </c>
      <c r="K199" s="12">
        <v>10</v>
      </c>
      <c r="L199" s="7">
        <v>3401.16</v>
      </c>
      <c r="M199" s="9" t="s">
        <v>21</v>
      </c>
      <c r="N199" s="9">
        <v>3.1</v>
      </c>
      <c r="O199" s="9" t="s">
        <v>44</v>
      </c>
      <c r="P199" s="7">
        <v>40871.96</v>
      </c>
      <c r="Q199" s="13">
        <v>65.680000000000007</v>
      </c>
    </row>
    <row r="200" spans="1:17" x14ac:dyDescent="0.3">
      <c r="A200" s="2" t="s">
        <v>249</v>
      </c>
      <c r="B200" s="3">
        <v>45806</v>
      </c>
      <c r="C200" s="2" t="s">
        <v>36</v>
      </c>
      <c r="D200" s="2" t="s">
        <v>32</v>
      </c>
      <c r="E200" s="4" t="s">
        <v>51</v>
      </c>
      <c r="F200" s="2">
        <v>24</v>
      </c>
      <c r="G200" s="5">
        <v>960</v>
      </c>
      <c r="H200" s="5">
        <v>23040</v>
      </c>
      <c r="I200" s="5">
        <v>4147.2</v>
      </c>
      <c r="J200" s="5">
        <v>455</v>
      </c>
      <c r="K200" s="6">
        <v>5</v>
      </c>
      <c r="L200" s="5">
        <v>17285.8</v>
      </c>
      <c r="M200" s="2" t="s">
        <v>26</v>
      </c>
      <c r="N200" s="2">
        <v>5</v>
      </c>
      <c r="O200" s="2" t="s">
        <v>34</v>
      </c>
      <c r="P200" s="7">
        <v>44677.16</v>
      </c>
      <c r="Q200" s="8">
        <v>75.03</v>
      </c>
    </row>
    <row r="201" spans="1:17" x14ac:dyDescent="0.3">
      <c r="A201" s="9" t="s">
        <v>250</v>
      </c>
      <c r="B201" s="10">
        <v>45729</v>
      </c>
      <c r="C201" s="9" t="s">
        <v>29</v>
      </c>
      <c r="D201" s="9" t="s">
        <v>24</v>
      </c>
      <c r="E201" s="11" t="s">
        <v>25</v>
      </c>
      <c r="F201" s="9">
        <v>24</v>
      </c>
      <c r="G201" s="7">
        <v>1133</v>
      </c>
      <c r="H201" s="7">
        <v>27192</v>
      </c>
      <c r="I201" s="7">
        <v>4894.5599999999986</v>
      </c>
      <c r="J201" s="7">
        <v>332</v>
      </c>
      <c r="K201" s="12">
        <v>20</v>
      </c>
      <c r="L201" s="7">
        <v>16527.04</v>
      </c>
      <c r="M201" s="9" t="s">
        <v>52</v>
      </c>
      <c r="N201" s="9">
        <v>3.9</v>
      </c>
      <c r="O201" s="9" t="s">
        <v>66</v>
      </c>
      <c r="P201" s="7">
        <v>48239.81</v>
      </c>
      <c r="Q201" s="13">
        <v>60.78</v>
      </c>
    </row>
    <row r="202" spans="1:17" x14ac:dyDescent="0.3">
      <c r="A202" s="2" t="s">
        <v>251</v>
      </c>
      <c r="B202" s="3">
        <v>45724</v>
      </c>
      <c r="C202" s="2" t="s">
        <v>39</v>
      </c>
      <c r="D202" s="2" t="s">
        <v>19</v>
      </c>
      <c r="E202" s="4" t="s">
        <v>58</v>
      </c>
      <c r="F202" s="2">
        <v>20</v>
      </c>
      <c r="G202" s="5">
        <v>1303</v>
      </c>
      <c r="H202" s="5">
        <v>26060</v>
      </c>
      <c r="I202" s="5">
        <v>4690.8</v>
      </c>
      <c r="J202" s="5">
        <v>259</v>
      </c>
      <c r="K202" s="6">
        <v>15</v>
      </c>
      <c r="L202" s="5">
        <v>17201.2</v>
      </c>
      <c r="M202" s="2" t="s">
        <v>21</v>
      </c>
      <c r="N202" s="2">
        <v>3.8</v>
      </c>
      <c r="O202" s="2" t="s">
        <v>66</v>
      </c>
      <c r="P202" s="7">
        <v>65879.98</v>
      </c>
      <c r="Q202" s="8">
        <v>66.010000000000005</v>
      </c>
    </row>
    <row r="203" spans="1:17" x14ac:dyDescent="0.3">
      <c r="A203" s="9" t="s">
        <v>252</v>
      </c>
      <c r="B203" s="10">
        <v>45952</v>
      </c>
      <c r="C203" s="9" t="s">
        <v>18</v>
      </c>
      <c r="D203" s="9" t="s">
        <v>32</v>
      </c>
      <c r="E203" s="11" t="s">
        <v>33</v>
      </c>
      <c r="F203" s="9">
        <v>42</v>
      </c>
      <c r="G203" s="7">
        <v>737</v>
      </c>
      <c r="H203" s="7">
        <v>30954</v>
      </c>
      <c r="I203" s="7">
        <v>5571.7199999999993</v>
      </c>
      <c r="J203" s="7">
        <v>226</v>
      </c>
      <c r="K203" s="12">
        <v>15</v>
      </c>
      <c r="L203" s="7">
        <v>20513.18</v>
      </c>
      <c r="M203" s="9" t="s">
        <v>52</v>
      </c>
      <c r="N203" s="9">
        <v>4.4000000000000004</v>
      </c>
      <c r="O203" s="9" t="s">
        <v>27</v>
      </c>
      <c r="P203" s="7">
        <v>45243.38</v>
      </c>
      <c r="Q203" s="13">
        <v>66.27</v>
      </c>
    </row>
    <row r="204" spans="1:17" x14ac:dyDescent="0.3">
      <c r="A204" s="2" t="s">
        <v>253</v>
      </c>
      <c r="B204" s="3">
        <v>45723</v>
      </c>
      <c r="C204" s="2" t="s">
        <v>39</v>
      </c>
      <c r="D204" s="2" t="s">
        <v>32</v>
      </c>
      <c r="E204" s="4" t="s">
        <v>51</v>
      </c>
      <c r="F204" s="2">
        <v>28</v>
      </c>
      <c r="G204" s="5">
        <v>957</v>
      </c>
      <c r="H204" s="5">
        <v>26796</v>
      </c>
      <c r="I204" s="5">
        <v>4823.28</v>
      </c>
      <c r="J204" s="5">
        <v>205</v>
      </c>
      <c r="K204" s="6">
        <v>0</v>
      </c>
      <c r="L204" s="5">
        <v>21767.72</v>
      </c>
      <c r="M204" s="2" t="s">
        <v>26</v>
      </c>
      <c r="N204" s="2">
        <v>4</v>
      </c>
      <c r="O204" s="2" t="s">
        <v>66</v>
      </c>
      <c r="P204" s="7">
        <v>39750.080000000002</v>
      </c>
      <c r="Q204" s="8">
        <v>81.23</v>
      </c>
    </row>
    <row r="205" spans="1:17" x14ac:dyDescent="0.3">
      <c r="A205" s="9" t="s">
        <v>254</v>
      </c>
      <c r="B205" s="10">
        <v>45742</v>
      </c>
      <c r="C205" s="9" t="s">
        <v>29</v>
      </c>
      <c r="D205" s="9" t="s">
        <v>40</v>
      </c>
      <c r="E205" s="11" t="s">
        <v>30</v>
      </c>
      <c r="F205" s="9">
        <v>23</v>
      </c>
      <c r="G205" s="7">
        <v>465</v>
      </c>
      <c r="H205" s="7">
        <v>10695</v>
      </c>
      <c r="I205" s="7">
        <v>1925.1</v>
      </c>
      <c r="J205" s="7">
        <v>375</v>
      </c>
      <c r="K205" s="12">
        <v>10</v>
      </c>
      <c r="L205" s="7">
        <v>7325.4</v>
      </c>
      <c r="M205" s="9" t="s">
        <v>26</v>
      </c>
      <c r="N205" s="9">
        <v>3.5</v>
      </c>
      <c r="O205" s="9" t="s">
        <v>66</v>
      </c>
      <c r="P205" s="7">
        <v>16768.18</v>
      </c>
      <c r="Q205" s="13">
        <v>68.489999999999995</v>
      </c>
    </row>
    <row r="206" spans="1:17" x14ac:dyDescent="0.3">
      <c r="A206" s="2" t="s">
        <v>255</v>
      </c>
      <c r="B206" s="3">
        <v>45940</v>
      </c>
      <c r="C206" s="2" t="s">
        <v>36</v>
      </c>
      <c r="D206" s="2" t="s">
        <v>32</v>
      </c>
      <c r="E206" s="4" t="s">
        <v>20</v>
      </c>
      <c r="F206" s="2">
        <v>40</v>
      </c>
      <c r="G206" s="5">
        <v>973</v>
      </c>
      <c r="H206" s="5">
        <v>38920</v>
      </c>
      <c r="I206" s="5">
        <v>7005.5999999999995</v>
      </c>
      <c r="J206" s="5">
        <v>353</v>
      </c>
      <c r="K206" s="6">
        <v>0</v>
      </c>
      <c r="L206" s="5">
        <v>31561.4</v>
      </c>
      <c r="M206" s="2" t="s">
        <v>21</v>
      </c>
      <c r="N206" s="2">
        <v>4.3</v>
      </c>
      <c r="O206" s="2" t="s">
        <v>27</v>
      </c>
      <c r="P206" s="7">
        <v>44671.19</v>
      </c>
      <c r="Q206" s="8">
        <v>81.09</v>
      </c>
    </row>
    <row r="207" spans="1:17" x14ac:dyDescent="0.3">
      <c r="A207" s="9" t="s">
        <v>256</v>
      </c>
      <c r="B207" s="10">
        <v>45955</v>
      </c>
      <c r="C207" s="9" t="s">
        <v>29</v>
      </c>
      <c r="D207" s="9" t="s">
        <v>32</v>
      </c>
      <c r="E207" s="11" t="s">
        <v>41</v>
      </c>
      <c r="F207" s="9">
        <v>47</v>
      </c>
      <c r="G207" s="7">
        <v>872</v>
      </c>
      <c r="H207" s="7">
        <v>40984</v>
      </c>
      <c r="I207" s="7">
        <v>7377.12</v>
      </c>
      <c r="J207" s="7">
        <v>64</v>
      </c>
      <c r="K207" s="12">
        <v>20</v>
      </c>
      <c r="L207" s="7">
        <v>25346.080000000002</v>
      </c>
      <c r="M207" s="9" t="s">
        <v>26</v>
      </c>
      <c r="N207" s="9">
        <v>4.7</v>
      </c>
      <c r="O207" s="9" t="s">
        <v>27</v>
      </c>
      <c r="P207" s="7">
        <v>39716.239999999998</v>
      </c>
      <c r="Q207" s="13">
        <v>61.84</v>
      </c>
    </row>
    <row r="208" spans="1:17" x14ac:dyDescent="0.3">
      <c r="A208" s="2" t="s">
        <v>257</v>
      </c>
      <c r="B208" s="3">
        <v>45699</v>
      </c>
      <c r="C208" s="2" t="s">
        <v>18</v>
      </c>
      <c r="D208" s="2" t="s">
        <v>40</v>
      </c>
      <c r="E208" s="4" t="s">
        <v>30</v>
      </c>
      <c r="F208" s="2">
        <v>50</v>
      </c>
      <c r="G208" s="5">
        <v>492</v>
      </c>
      <c r="H208" s="5">
        <v>24600</v>
      </c>
      <c r="I208" s="5">
        <v>4428</v>
      </c>
      <c r="J208" s="5">
        <v>304</v>
      </c>
      <c r="K208" s="6">
        <v>15</v>
      </c>
      <c r="L208" s="5">
        <v>16178</v>
      </c>
      <c r="M208" s="2" t="s">
        <v>21</v>
      </c>
      <c r="N208" s="2">
        <v>4.3</v>
      </c>
      <c r="O208" s="2" t="s">
        <v>44</v>
      </c>
      <c r="P208" s="7">
        <v>13512.67</v>
      </c>
      <c r="Q208" s="8">
        <v>65.760000000000005</v>
      </c>
    </row>
    <row r="209" spans="1:17" x14ac:dyDescent="0.3">
      <c r="A209" s="9" t="s">
        <v>258</v>
      </c>
      <c r="B209" s="10">
        <v>45979</v>
      </c>
      <c r="C209" s="9" t="s">
        <v>39</v>
      </c>
      <c r="D209" s="9" t="s">
        <v>40</v>
      </c>
      <c r="E209" s="11" t="s">
        <v>20</v>
      </c>
      <c r="F209" s="9">
        <v>31</v>
      </c>
      <c r="G209" s="7">
        <v>325</v>
      </c>
      <c r="H209" s="7">
        <v>10075</v>
      </c>
      <c r="I209" s="7">
        <v>1813.5</v>
      </c>
      <c r="J209" s="7">
        <v>402</v>
      </c>
      <c r="K209" s="12">
        <v>15</v>
      </c>
      <c r="L209" s="7">
        <v>6348.25</v>
      </c>
      <c r="M209" s="9" t="s">
        <v>52</v>
      </c>
      <c r="N209" s="9">
        <v>3.9</v>
      </c>
      <c r="O209" s="9" t="s">
        <v>22</v>
      </c>
      <c r="P209" s="7">
        <v>13086.35</v>
      </c>
      <c r="Q209" s="13">
        <v>63.01</v>
      </c>
    </row>
    <row r="210" spans="1:17" x14ac:dyDescent="0.3">
      <c r="A210" s="2" t="s">
        <v>259</v>
      </c>
      <c r="B210" s="3">
        <v>45688</v>
      </c>
      <c r="C210" s="2" t="s">
        <v>29</v>
      </c>
      <c r="D210" s="2" t="s">
        <v>24</v>
      </c>
      <c r="E210" s="4" t="s">
        <v>43</v>
      </c>
      <c r="F210" s="2">
        <v>31</v>
      </c>
      <c r="G210" s="5">
        <v>1087</v>
      </c>
      <c r="H210" s="5">
        <v>33697</v>
      </c>
      <c r="I210" s="5">
        <v>6065.46</v>
      </c>
      <c r="J210" s="5">
        <v>210</v>
      </c>
      <c r="K210" s="6">
        <v>5</v>
      </c>
      <c r="L210" s="5">
        <v>25736.69</v>
      </c>
      <c r="M210" s="2" t="s">
        <v>52</v>
      </c>
      <c r="N210" s="2">
        <v>4.2</v>
      </c>
      <c r="O210" s="2" t="s">
        <v>79</v>
      </c>
      <c r="P210" s="7">
        <v>46093.599999999999</v>
      </c>
      <c r="Q210" s="8">
        <v>76.38</v>
      </c>
    </row>
    <row r="211" spans="1:17" x14ac:dyDescent="0.3">
      <c r="A211" s="9" t="s">
        <v>260</v>
      </c>
      <c r="B211" s="10">
        <v>45821</v>
      </c>
      <c r="C211" s="9" t="s">
        <v>36</v>
      </c>
      <c r="D211" s="9" t="s">
        <v>24</v>
      </c>
      <c r="E211" s="11" t="s">
        <v>51</v>
      </c>
      <c r="F211" s="9">
        <v>49</v>
      </c>
      <c r="G211" s="7">
        <v>1039</v>
      </c>
      <c r="H211" s="7">
        <v>50911</v>
      </c>
      <c r="I211" s="7">
        <v>9163.98</v>
      </c>
      <c r="J211" s="7">
        <v>173</v>
      </c>
      <c r="K211" s="12">
        <v>20</v>
      </c>
      <c r="L211" s="7">
        <v>31391.82</v>
      </c>
      <c r="M211" s="9" t="s">
        <v>21</v>
      </c>
      <c r="N211" s="9">
        <v>3.2</v>
      </c>
      <c r="O211" s="9" t="s">
        <v>63</v>
      </c>
      <c r="P211" s="7">
        <v>49398.080000000002</v>
      </c>
      <c r="Q211" s="13">
        <v>61.66</v>
      </c>
    </row>
    <row r="212" spans="1:17" x14ac:dyDescent="0.3">
      <c r="A212" s="2" t="s">
        <v>261</v>
      </c>
      <c r="B212" s="3">
        <v>45896</v>
      </c>
      <c r="C212" s="2" t="s">
        <v>18</v>
      </c>
      <c r="D212" s="2" t="s">
        <v>40</v>
      </c>
      <c r="E212" s="4" t="s">
        <v>37</v>
      </c>
      <c r="F212" s="2">
        <v>16</v>
      </c>
      <c r="G212" s="5">
        <v>272</v>
      </c>
      <c r="H212" s="5">
        <v>4352</v>
      </c>
      <c r="I212" s="5">
        <v>783.36</v>
      </c>
      <c r="J212" s="5">
        <v>246</v>
      </c>
      <c r="K212" s="6">
        <v>0</v>
      </c>
      <c r="L212" s="5">
        <v>3322.64</v>
      </c>
      <c r="M212" s="2" t="s">
        <v>26</v>
      </c>
      <c r="N212" s="2">
        <v>3.6</v>
      </c>
      <c r="O212" s="2" t="s">
        <v>53</v>
      </c>
      <c r="P212" s="7">
        <v>12819.36</v>
      </c>
      <c r="Q212" s="8">
        <v>76.349999999999994</v>
      </c>
    </row>
    <row r="213" spans="1:17" x14ac:dyDescent="0.3">
      <c r="A213" s="9" t="s">
        <v>262</v>
      </c>
      <c r="B213" s="10">
        <v>45973</v>
      </c>
      <c r="C213" s="9" t="s">
        <v>55</v>
      </c>
      <c r="D213" s="9" t="s">
        <v>32</v>
      </c>
      <c r="E213" s="11" t="s">
        <v>51</v>
      </c>
      <c r="F213" s="9">
        <v>21</v>
      </c>
      <c r="G213" s="7">
        <v>995</v>
      </c>
      <c r="H213" s="7">
        <v>20895</v>
      </c>
      <c r="I213" s="7">
        <v>3761.1</v>
      </c>
      <c r="J213" s="7">
        <v>305</v>
      </c>
      <c r="K213" s="12">
        <v>10</v>
      </c>
      <c r="L213" s="7">
        <v>14739.4</v>
      </c>
      <c r="M213" s="9" t="s">
        <v>26</v>
      </c>
      <c r="N213" s="9">
        <v>4.5</v>
      </c>
      <c r="O213" s="9" t="s">
        <v>22</v>
      </c>
      <c r="P213" s="7">
        <v>37956.959999999999</v>
      </c>
      <c r="Q213" s="13">
        <v>70.540000000000006</v>
      </c>
    </row>
    <row r="214" spans="1:17" x14ac:dyDescent="0.3">
      <c r="A214" s="2" t="s">
        <v>263</v>
      </c>
      <c r="B214" s="3">
        <v>45921</v>
      </c>
      <c r="C214" s="2" t="s">
        <v>55</v>
      </c>
      <c r="D214" s="2" t="s">
        <v>24</v>
      </c>
      <c r="E214" s="4" t="s">
        <v>20</v>
      </c>
      <c r="F214" s="2">
        <v>32</v>
      </c>
      <c r="G214" s="5">
        <v>861</v>
      </c>
      <c r="H214" s="5">
        <v>27552</v>
      </c>
      <c r="I214" s="5">
        <v>4959.3599999999997</v>
      </c>
      <c r="J214" s="5">
        <v>173</v>
      </c>
      <c r="K214" s="6">
        <v>0</v>
      </c>
      <c r="L214" s="5">
        <v>22419.64</v>
      </c>
      <c r="M214" s="2" t="s">
        <v>52</v>
      </c>
      <c r="N214" s="2">
        <v>4</v>
      </c>
      <c r="O214" s="2" t="s">
        <v>59</v>
      </c>
      <c r="P214" s="7">
        <v>49911.86</v>
      </c>
      <c r="Q214" s="8">
        <v>81.37</v>
      </c>
    </row>
    <row r="215" spans="1:17" x14ac:dyDescent="0.3">
      <c r="A215" s="9" t="s">
        <v>264</v>
      </c>
      <c r="B215" s="10">
        <v>45768</v>
      </c>
      <c r="C215" s="9" t="s">
        <v>39</v>
      </c>
      <c r="D215" s="9" t="s">
        <v>40</v>
      </c>
      <c r="E215" s="11" t="s">
        <v>25</v>
      </c>
      <c r="F215" s="9">
        <v>4</v>
      </c>
      <c r="G215" s="7">
        <v>344</v>
      </c>
      <c r="H215" s="7">
        <v>1376</v>
      </c>
      <c r="I215" s="7">
        <v>247.68</v>
      </c>
      <c r="J215" s="7">
        <v>384</v>
      </c>
      <c r="K215" s="12">
        <v>15</v>
      </c>
      <c r="L215" s="7">
        <v>537.91999999999996</v>
      </c>
      <c r="M215" s="9" t="s">
        <v>21</v>
      </c>
      <c r="N215" s="9">
        <v>4.8</v>
      </c>
      <c r="O215" s="9" t="s">
        <v>69</v>
      </c>
      <c r="P215" s="7">
        <v>14260.88</v>
      </c>
      <c r="Q215" s="13">
        <v>39.090000000000003</v>
      </c>
    </row>
    <row r="216" spans="1:17" x14ac:dyDescent="0.3">
      <c r="A216" s="2" t="s">
        <v>265</v>
      </c>
      <c r="B216" s="3">
        <v>46002</v>
      </c>
      <c r="C216" s="2" t="s">
        <v>55</v>
      </c>
      <c r="D216" s="2" t="s">
        <v>40</v>
      </c>
      <c r="E216" s="4" t="s">
        <v>75</v>
      </c>
      <c r="F216" s="2">
        <v>1</v>
      </c>
      <c r="G216" s="5">
        <v>255</v>
      </c>
      <c r="H216" s="5">
        <v>255</v>
      </c>
      <c r="I216" s="5">
        <v>45.9</v>
      </c>
      <c r="J216" s="5">
        <v>422</v>
      </c>
      <c r="K216" s="6">
        <v>15</v>
      </c>
      <c r="L216" s="5">
        <v>-251.15</v>
      </c>
      <c r="M216" s="2" t="s">
        <v>26</v>
      </c>
      <c r="N216" s="2">
        <v>4.8</v>
      </c>
      <c r="O216" s="2" t="s">
        <v>46</v>
      </c>
      <c r="P216" s="7">
        <v>16051.77</v>
      </c>
      <c r="Q216" s="8">
        <v>-98.49</v>
      </c>
    </row>
    <row r="217" spans="1:17" x14ac:dyDescent="0.3">
      <c r="A217" s="9" t="s">
        <v>266</v>
      </c>
      <c r="B217" s="10">
        <v>45845</v>
      </c>
      <c r="C217" s="9" t="s">
        <v>55</v>
      </c>
      <c r="D217" s="9" t="s">
        <v>40</v>
      </c>
      <c r="E217" s="11" t="s">
        <v>25</v>
      </c>
      <c r="F217" s="9">
        <v>26</v>
      </c>
      <c r="G217" s="7">
        <v>226</v>
      </c>
      <c r="H217" s="7">
        <v>5876</v>
      </c>
      <c r="I217" s="7">
        <v>1057.68</v>
      </c>
      <c r="J217" s="7">
        <v>333</v>
      </c>
      <c r="K217" s="12">
        <v>20</v>
      </c>
      <c r="L217" s="7">
        <v>3310.12</v>
      </c>
      <c r="M217" s="9" t="s">
        <v>21</v>
      </c>
      <c r="N217" s="9">
        <v>3.4</v>
      </c>
      <c r="O217" s="9" t="s">
        <v>48</v>
      </c>
      <c r="P217" s="7">
        <v>15313.28</v>
      </c>
      <c r="Q217" s="13">
        <v>56.33</v>
      </c>
    </row>
    <row r="218" spans="1:17" x14ac:dyDescent="0.3">
      <c r="A218" s="2" t="s">
        <v>267</v>
      </c>
      <c r="B218" s="3">
        <v>45805</v>
      </c>
      <c r="C218" s="2" t="s">
        <v>18</v>
      </c>
      <c r="D218" s="2" t="s">
        <v>24</v>
      </c>
      <c r="E218" s="4" t="s">
        <v>75</v>
      </c>
      <c r="F218" s="2">
        <v>29</v>
      </c>
      <c r="G218" s="5">
        <v>1131</v>
      </c>
      <c r="H218" s="5">
        <v>32799</v>
      </c>
      <c r="I218" s="5">
        <v>5903.82</v>
      </c>
      <c r="J218" s="5">
        <v>110</v>
      </c>
      <c r="K218" s="6">
        <v>10</v>
      </c>
      <c r="L218" s="5">
        <v>23505.279999999999</v>
      </c>
      <c r="M218" s="2" t="s">
        <v>21</v>
      </c>
      <c r="N218" s="2">
        <v>4.4000000000000004</v>
      </c>
      <c r="O218" s="2" t="s">
        <v>34</v>
      </c>
      <c r="P218" s="7">
        <v>50495.18</v>
      </c>
      <c r="Q218" s="8">
        <v>71.66</v>
      </c>
    </row>
    <row r="219" spans="1:17" x14ac:dyDescent="0.3">
      <c r="A219" s="9" t="s">
        <v>268</v>
      </c>
      <c r="B219" s="10">
        <v>45723</v>
      </c>
      <c r="C219" s="9" t="s">
        <v>18</v>
      </c>
      <c r="D219" s="9" t="s">
        <v>24</v>
      </c>
      <c r="E219" s="11" t="s">
        <v>33</v>
      </c>
      <c r="F219" s="9">
        <v>22</v>
      </c>
      <c r="G219" s="7">
        <v>1135</v>
      </c>
      <c r="H219" s="7">
        <v>24970</v>
      </c>
      <c r="I219" s="7">
        <v>4494.5999999999995</v>
      </c>
      <c r="J219" s="7">
        <v>310</v>
      </c>
      <c r="K219" s="12">
        <v>10</v>
      </c>
      <c r="L219" s="7">
        <v>17668.400000000001</v>
      </c>
      <c r="M219" s="9" t="s">
        <v>26</v>
      </c>
      <c r="N219" s="9">
        <v>3.4</v>
      </c>
      <c r="O219" s="9" t="s">
        <v>66</v>
      </c>
      <c r="P219" s="7">
        <v>52002.61</v>
      </c>
      <c r="Q219" s="13">
        <v>70.760000000000005</v>
      </c>
    </row>
    <row r="220" spans="1:17" x14ac:dyDescent="0.3">
      <c r="A220" s="2" t="s">
        <v>269</v>
      </c>
      <c r="B220" s="3">
        <v>45863</v>
      </c>
      <c r="C220" s="2" t="s">
        <v>39</v>
      </c>
      <c r="D220" s="2" t="s">
        <v>19</v>
      </c>
      <c r="E220" s="4" t="s">
        <v>25</v>
      </c>
      <c r="F220" s="2">
        <v>3</v>
      </c>
      <c r="G220" s="5">
        <v>1170</v>
      </c>
      <c r="H220" s="5">
        <v>3510</v>
      </c>
      <c r="I220" s="5">
        <v>631.79999999999995</v>
      </c>
      <c r="J220" s="5">
        <v>126</v>
      </c>
      <c r="K220" s="6">
        <v>10</v>
      </c>
      <c r="L220" s="5">
        <v>2401.1999999999998</v>
      </c>
      <c r="M220" s="2" t="s">
        <v>52</v>
      </c>
      <c r="N220" s="2">
        <v>4</v>
      </c>
      <c r="O220" s="2" t="s">
        <v>48</v>
      </c>
      <c r="P220" s="7">
        <v>61493</v>
      </c>
      <c r="Q220" s="8">
        <v>68.41</v>
      </c>
    </row>
    <row r="221" spans="1:17" x14ac:dyDescent="0.3">
      <c r="A221" s="9" t="s">
        <v>270</v>
      </c>
      <c r="B221" s="10">
        <v>45968</v>
      </c>
      <c r="C221" s="9" t="s">
        <v>39</v>
      </c>
      <c r="D221" s="9" t="s">
        <v>32</v>
      </c>
      <c r="E221" s="11" t="s">
        <v>33</v>
      </c>
      <c r="F221" s="9">
        <v>40</v>
      </c>
      <c r="G221" s="7">
        <v>863</v>
      </c>
      <c r="H221" s="7">
        <v>34520</v>
      </c>
      <c r="I221" s="7">
        <v>6213.5999999999995</v>
      </c>
      <c r="J221" s="7">
        <v>428</v>
      </c>
      <c r="K221" s="12">
        <v>5</v>
      </c>
      <c r="L221" s="7">
        <v>26152.400000000001</v>
      </c>
      <c r="M221" s="9" t="s">
        <v>52</v>
      </c>
      <c r="N221" s="9">
        <v>5</v>
      </c>
      <c r="O221" s="9" t="s">
        <v>22</v>
      </c>
      <c r="P221" s="7">
        <v>38967.269999999997</v>
      </c>
      <c r="Q221" s="13">
        <v>75.760000000000005</v>
      </c>
    </row>
    <row r="222" spans="1:17" x14ac:dyDescent="0.3">
      <c r="A222" s="2" t="s">
        <v>271</v>
      </c>
      <c r="B222" s="3">
        <v>45811</v>
      </c>
      <c r="C222" s="2" t="s">
        <v>39</v>
      </c>
      <c r="D222" s="2" t="s">
        <v>40</v>
      </c>
      <c r="E222" s="4" t="s">
        <v>75</v>
      </c>
      <c r="F222" s="2">
        <v>33</v>
      </c>
      <c r="G222" s="5">
        <v>472</v>
      </c>
      <c r="H222" s="5">
        <v>15576</v>
      </c>
      <c r="I222" s="5">
        <v>2803.68</v>
      </c>
      <c r="J222" s="5">
        <v>293</v>
      </c>
      <c r="K222" s="6">
        <v>15</v>
      </c>
      <c r="L222" s="5">
        <v>10142.92</v>
      </c>
      <c r="M222" s="2" t="s">
        <v>21</v>
      </c>
      <c r="N222" s="2">
        <v>4.0999999999999996</v>
      </c>
      <c r="O222" s="2" t="s">
        <v>63</v>
      </c>
      <c r="P222" s="7">
        <v>13496.93</v>
      </c>
      <c r="Q222" s="8">
        <v>65.12</v>
      </c>
    </row>
    <row r="223" spans="1:17" x14ac:dyDescent="0.3">
      <c r="A223" s="9" t="s">
        <v>272</v>
      </c>
      <c r="B223" s="10">
        <v>45666</v>
      </c>
      <c r="C223" s="9" t="s">
        <v>36</v>
      </c>
      <c r="D223" s="9" t="s">
        <v>40</v>
      </c>
      <c r="E223" s="11" t="s">
        <v>58</v>
      </c>
      <c r="F223" s="9">
        <v>27</v>
      </c>
      <c r="G223" s="7">
        <v>498</v>
      </c>
      <c r="H223" s="7">
        <v>13446</v>
      </c>
      <c r="I223" s="7">
        <v>2420.2800000000002</v>
      </c>
      <c r="J223" s="7">
        <v>372</v>
      </c>
      <c r="K223" s="12">
        <v>10</v>
      </c>
      <c r="L223" s="7">
        <v>9309.1200000000008</v>
      </c>
      <c r="M223" s="9" t="s">
        <v>21</v>
      </c>
      <c r="N223" s="9">
        <v>4.7</v>
      </c>
      <c r="O223" s="9" t="s">
        <v>79</v>
      </c>
      <c r="P223" s="7">
        <v>15396.64</v>
      </c>
      <c r="Q223" s="13">
        <v>69.23</v>
      </c>
    </row>
    <row r="224" spans="1:17" x14ac:dyDescent="0.3">
      <c r="A224" s="2" t="s">
        <v>273</v>
      </c>
      <c r="B224" s="3">
        <v>45671</v>
      </c>
      <c r="C224" s="2" t="s">
        <v>39</v>
      </c>
      <c r="D224" s="2" t="s">
        <v>24</v>
      </c>
      <c r="E224" s="4" t="s">
        <v>20</v>
      </c>
      <c r="F224" s="2">
        <v>42</v>
      </c>
      <c r="G224" s="5">
        <v>1146</v>
      </c>
      <c r="H224" s="5">
        <v>48132</v>
      </c>
      <c r="I224" s="5">
        <v>8663.76</v>
      </c>
      <c r="J224" s="5">
        <v>348</v>
      </c>
      <c r="K224" s="6">
        <v>20</v>
      </c>
      <c r="L224" s="5">
        <v>29493.84</v>
      </c>
      <c r="M224" s="2" t="s">
        <v>26</v>
      </c>
      <c r="N224" s="2">
        <v>4.4000000000000004</v>
      </c>
      <c r="O224" s="2" t="s">
        <v>79</v>
      </c>
      <c r="P224" s="7">
        <v>43212.33</v>
      </c>
      <c r="Q224" s="8">
        <v>61.28</v>
      </c>
    </row>
    <row r="225" spans="1:17" x14ac:dyDescent="0.3">
      <c r="A225" s="9" t="s">
        <v>274</v>
      </c>
      <c r="B225" s="10">
        <v>45903</v>
      </c>
      <c r="C225" s="9" t="s">
        <v>29</v>
      </c>
      <c r="D225" s="9" t="s">
        <v>24</v>
      </c>
      <c r="E225" s="11" t="s">
        <v>51</v>
      </c>
      <c r="F225" s="9">
        <v>44</v>
      </c>
      <c r="G225" s="7">
        <v>974</v>
      </c>
      <c r="H225" s="7">
        <v>42856</v>
      </c>
      <c r="I225" s="7">
        <v>7714.08</v>
      </c>
      <c r="J225" s="7">
        <v>106</v>
      </c>
      <c r="K225" s="12">
        <v>0</v>
      </c>
      <c r="L225" s="7">
        <v>35035.919999999998</v>
      </c>
      <c r="M225" s="9" t="s">
        <v>21</v>
      </c>
      <c r="N225" s="9">
        <v>4.9000000000000004</v>
      </c>
      <c r="O225" s="9" t="s">
        <v>59</v>
      </c>
      <c r="P225" s="7">
        <v>43042.12</v>
      </c>
      <c r="Q225" s="13">
        <v>81.75</v>
      </c>
    </row>
    <row r="226" spans="1:17" x14ac:dyDescent="0.3">
      <c r="A226" s="2" t="s">
        <v>275</v>
      </c>
      <c r="B226" s="3">
        <v>45755</v>
      </c>
      <c r="C226" s="2" t="s">
        <v>18</v>
      </c>
      <c r="D226" s="2" t="s">
        <v>24</v>
      </c>
      <c r="E226" s="4" t="s">
        <v>33</v>
      </c>
      <c r="F226" s="2">
        <v>27</v>
      </c>
      <c r="G226" s="5">
        <v>927</v>
      </c>
      <c r="H226" s="5">
        <v>25029</v>
      </c>
      <c r="I226" s="5">
        <v>4505.22</v>
      </c>
      <c r="J226" s="5">
        <v>306</v>
      </c>
      <c r="K226" s="6">
        <v>15</v>
      </c>
      <c r="L226" s="5">
        <v>16463.43</v>
      </c>
      <c r="M226" s="2" t="s">
        <v>21</v>
      </c>
      <c r="N226" s="2">
        <v>3.4</v>
      </c>
      <c r="O226" s="2" t="s">
        <v>69</v>
      </c>
      <c r="P226" s="7">
        <v>47635.85</v>
      </c>
      <c r="Q226" s="8">
        <v>65.78</v>
      </c>
    </row>
    <row r="227" spans="1:17" x14ac:dyDescent="0.3">
      <c r="A227" s="9" t="s">
        <v>276</v>
      </c>
      <c r="B227" s="10">
        <v>45971</v>
      </c>
      <c r="C227" s="9" t="s">
        <v>55</v>
      </c>
      <c r="D227" s="9" t="s">
        <v>19</v>
      </c>
      <c r="E227" s="11" t="s">
        <v>51</v>
      </c>
      <c r="F227" s="9">
        <v>34</v>
      </c>
      <c r="G227" s="7">
        <v>1206</v>
      </c>
      <c r="H227" s="7">
        <v>41004</v>
      </c>
      <c r="I227" s="7">
        <v>7380.7199999999993</v>
      </c>
      <c r="J227" s="7">
        <v>294</v>
      </c>
      <c r="K227" s="12">
        <v>20</v>
      </c>
      <c r="L227" s="7">
        <v>25128.48</v>
      </c>
      <c r="M227" s="9" t="s">
        <v>52</v>
      </c>
      <c r="N227" s="9">
        <v>5</v>
      </c>
      <c r="O227" s="9" t="s">
        <v>22</v>
      </c>
      <c r="P227" s="7">
        <v>55139.21</v>
      </c>
      <c r="Q227" s="13">
        <v>61.28</v>
      </c>
    </row>
    <row r="228" spans="1:17" x14ac:dyDescent="0.3">
      <c r="A228" s="2" t="s">
        <v>277</v>
      </c>
      <c r="B228" s="3">
        <v>45927</v>
      </c>
      <c r="C228" s="2" t="s">
        <v>55</v>
      </c>
      <c r="D228" s="2" t="s">
        <v>40</v>
      </c>
      <c r="E228" s="4" t="s">
        <v>51</v>
      </c>
      <c r="F228" s="2">
        <v>30</v>
      </c>
      <c r="G228" s="5">
        <v>472</v>
      </c>
      <c r="H228" s="5">
        <v>14160</v>
      </c>
      <c r="I228" s="5">
        <v>2548.8000000000002</v>
      </c>
      <c r="J228" s="5">
        <v>445</v>
      </c>
      <c r="K228" s="6">
        <v>10</v>
      </c>
      <c r="L228" s="5">
        <v>9750.2000000000007</v>
      </c>
      <c r="M228" s="2" t="s">
        <v>21</v>
      </c>
      <c r="N228" s="2">
        <v>3.7</v>
      </c>
      <c r="O228" s="2" t="s">
        <v>59</v>
      </c>
      <c r="P228" s="7">
        <v>16149.84</v>
      </c>
      <c r="Q228" s="8">
        <v>68.86</v>
      </c>
    </row>
    <row r="229" spans="1:17" x14ac:dyDescent="0.3">
      <c r="A229" s="9" t="s">
        <v>278</v>
      </c>
      <c r="B229" s="10">
        <v>46006</v>
      </c>
      <c r="C229" s="9" t="s">
        <v>36</v>
      </c>
      <c r="D229" s="9" t="s">
        <v>24</v>
      </c>
      <c r="E229" s="11" t="s">
        <v>30</v>
      </c>
      <c r="F229" s="9">
        <v>16</v>
      </c>
      <c r="G229" s="7">
        <v>992</v>
      </c>
      <c r="H229" s="7">
        <v>15872</v>
      </c>
      <c r="I229" s="7">
        <v>2856.96</v>
      </c>
      <c r="J229" s="7">
        <v>202</v>
      </c>
      <c r="K229" s="12">
        <v>20</v>
      </c>
      <c r="L229" s="7">
        <v>9638.6400000000012</v>
      </c>
      <c r="M229" s="9" t="s">
        <v>52</v>
      </c>
      <c r="N229" s="9">
        <v>3.4</v>
      </c>
      <c r="O229" s="9" t="s">
        <v>46</v>
      </c>
      <c r="P229" s="7">
        <v>44877.75</v>
      </c>
      <c r="Q229" s="13">
        <v>60.73</v>
      </c>
    </row>
    <row r="230" spans="1:17" x14ac:dyDescent="0.3">
      <c r="A230" s="2" t="s">
        <v>279</v>
      </c>
      <c r="B230" s="3">
        <v>45805</v>
      </c>
      <c r="C230" s="2" t="s">
        <v>29</v>
      </c>
      <c r="D230" s="2" t="s">
        <v>24</v>
      </c>
      <c r="E230" s="4" t="s">
        <v>33</v>
      </c>
      <c r="F230" s="2">
        <v>31</v>
      </c>
      <c r="G230" s="5">
        <v>1028</v>
      </c>
      <c r="H230" s="5">
        <v>31868</v>
      </c>
      <c r="I230" s="5">
        <v>5736.24</v>
      </c>
      <c r="J230" s="5">
        <v>112</v>
      </c>
      <c r="K230" s="6">
        <v>20</v>
      </c>
      <c r="L230" s="5">
        <v>19646.16</v>
      </c>
      <c r="M230" s="2" t="s">
        <v>21</v>
      </c>
      <c r="N230" s="2">
        <v>3.5</v>
      </c>
      <c r="O230" s="2" t="s">
        <v>34</v>
      </c>
      <c r="P230" s="7">
        <v>49086.22</v>
      </c>
      <c r="Q230" s="8">
        <v>61.65</v>
      </c>
    </row>
    <row r="231" spans="1:17" x14ac:dyDescent="0.3">
      <c r="A231" s="9" t="s">
        <v>280</v>
      </c>
      <c r="B231" s="10">
        <v>45951</v>
      </c>
      <c r="C231" s="9" t="s">
        <v>39</v>
      </c>
      <c r="D231" s="9" t="s">
        <v>24</v>
      </c>
      <c r="E231" s="11" t="s">
        <v>43</v>
      </c>
      <c r="F231" s="9">
        <v>23</v>
      </c>
      <c r="G231" s="7">
        <v>924</v>
      </c>
      <c r="H231" s="7">
        <v>21252</v>
      </c>
      <c r="I231" s="7">
        <v>3825.36</v>
      </c>
      <c r="J231" s="7">
        <v>415</v>
      </c>
      <c r="K231" s="12">
        <v>10</v>
      </c>
      <c r="L231" s="7">
        <v>14886.44</v>
      </c>
      <c r="M231" s="9" t="s">
        <v>26</v>
      </c>
      <c r="N231" s="9">
        <v>3.6</v>
      </c>
      <c r="O231" s="9" t="s">
        <v>27</v>
      </c>
      <c r="P231" s="7">
        <v>52933.06</v>
      </c>
      <c r="Q231" s="13">
        <v>70.05</v>
      </c>
    </row>
    <row r="232" spans="1:17" x14ac:dyDescent="0.3">
      <c r="A232" s="2" t="s">
        <v>281</v>
      </c>
      <c r="B232" s="3">
        <v>45698</v>
      </c>
      <c r="C232" s="2" t="s">
        <v>36</v>
      </c>
      <c r="D232" s="2" t="s">
        <v>24</v>
      </c>
      <c r="E232" s="4" t="s">
        <v>20</v>
      </c>
      <c r="F232" s="2">
        <v>48</v>
      </c>
      <c r="G232" s="5">
        <v>1095</v>
      </c>
      <c r="H232" s="5">
        <v>52560</v>
      </c>
      <c r="I232" s="5">
        <v>9460.7999999999993</v>
      </c>
      <c r="J232" s="5">
        <v>188</v>
      </c>
      <c r="K232" s="6">
        <v>5</v>
      </c>
      <c r="L232" s="5">
        <v>40283.199999999997</v>
      </c>
      <c r="M232" s="2" t="s">
        <v>26</v>
      </c>
      <c r="N232" s="2">
        <v>4.7</v>
      </c>
      <c r="O232" s="2" t="s">
        <v>44</v>
      </c>
      <c r="P232" s="7">
        <v>48765.760000000002</v>
      </c>
      <c r="Q232" s="8">
        <v>76.64</v>
      </c>
    </row>
    <row r="233" spans="1:17" x14ac:dyDescent="0.3">
      <c r="A233" s="9" t="s">
        <v>282</v>
      </c>
      <c r="B233" s="10">
        <v>45945</v>
      </c>
      <c r="C233" s="9" t="s">
        <v>36</v>
      </c>
      <c r="D233" s="9" t="s">
        <v>32</v>
      </c>
      <c r="E233" s="11" t="s">
        <v>58</v>
      </c>
      <c r="F233" s="9">
        <v>40</v>
      </c>
      <c r="G233" s="7">
        <v>1000</v>
      </c>
      <c r="H233" s="7">
        <v>40000</v>
      </c>
      <c r="I233" s="7">
        <v>7200</v>
      </c>
      <c r="J233" s="7">
        <v>321</v>
      </c>
      <c r="K233" s="12">
        <v>5</v>
      </c>
      <c r="L233" s="7">
        <v>30479</v>
      </c>
      <c r="M233" s="9" t="s">
        <v>26</v>
      </c>
      <c r="N233" s="9">
        <v>3.1</v>
      </c>
      <c r="O233" s="9" t="s">
        <v>27</v>
      </c>
      <c r="P233" s="7">
        <v>43664.25</v>
      </c>
      <c r="Q233" s="13">
        <v>76.2</v>
      </c>
    </row>
    <row r="234" spans="1:17" x14ac:dyDescent="0.3">
      <c r="A234" s="2" t="s">
        <v>283</v>
      </c>
      <c r="B234" s="3">
        <v>45773</v>
      </c>
      <c r="C234" s="2" t="s">
        <v>29</v>
      </c>
      <c r="D234" s="2" t="s">
        <v>19</v>
      </c>
      <c r="E234" s="4" t="s">
        <v>58</v>
      </c>
      <c r="F234" s="2">
        <v>27</v>
      </c>
      <c r="G234" s="5">
        <v>1269</v>
      </c>
      <c r="H234" s="5">
        <v>34263</v>
      </c>
      <c r="I234" s="5">
        <v>6167.34</v>
      </c>
      <c r="J234" s="5">
        <v>120</v>
      </c>
      <c r="K234" s="6">
        <v>15</v>
      </c>
      <c r="L234" s="5">
        <v>22836.21</v>
      </c>
      <c r="M234" s="2" t="s">
        <v>26</v>
      </c>
      <c r="N234" s="2">
        <v>4.4000000000000004</v>
      </c>
      <c r="O234" s="2" t="s">
        <v>69</v>
      </c>
      <c r="P234" s="7">
        <v>53109.01</v>
      </c>
      <c r="Q234" s="8">
        <v>66.650000000000006</v>
      </c>
    </row>
    <row r="235" spans="1:17" x14ac:dyDescent="0.3">
      <c r="A235" s="9" t="s">
        <v>284</v>
      </c>
      <c r="B235" s="10">
        <v>45660</v>
      </c>
      <c r="C235" s="9" t="s">
        <v>39</v>
      </c>
      <c r="D235" s="9" t="s">
        <v>32</v>
      </c>
      <c r="E235" s="11" t="s">
        <v>43</v>
      </c>
      <c r="F235" s="9">
        <v>42</v>
      </c>
      <c r="G235" s="7">
        <v>943</v>
      </c>
      <c r="H235" s="7">
        <v>39606</v>
      </c>
      <c r="I235" s="7">
        <v>7129.08</v>
      </c>
      <c r="J235" s="7">
        <v>197</v>
      </c>
      <c r="K235" s="12">
        <v>15</v>
      </c>
      <c r="L235" s="7">
        <v>26339.02</v>
      </c>
      <c r="M235" s="9" t="s">
        <v>21</v>
      </c>
      <c r="N235" s="9">
        <v>3.4</v>
      </c>
      <c r="O235" s="9" t="s">
        <v>79</v>
      </c>
      <c r="P235" s="7">
        <v>36062.04</v>
      </c>
      <c r="Q235" s="13">
        <v>66.5</v>
      </c>
    </row>
    <row r="236" spans="1:17" x14ac:dyDescent="0.3">
      <c r="A236" s="2" t="s">
        <v>285</v>
      </c>
      <c r="B236" s="3">
        <v>45822</v>
      </c>
      <c r="C236" s="2" t="s">
        <v>36</v>
      </c>
      <c r="D236" s="2" t="s">
        <v>19</v>
      </c>
      <c r="E236" s="4" t="s">
        <v>58</v>
      </c>
      <c r="F236" s="2">
        <v>42</v>
      </c>
      <c r="G236" s="5">
        <v>1393</v>
      </c>
      <c r="H236" s="5">
        <v>58506</v>
      </c>
      <c r="I236" s="5">
        <v>10531.08</v>
      </c>
      <c r="J236" s="5">
        <v>485</v>
      </c>
      <c r="K236" s="6">
        <v>5</v>
      </c>
      <c r="L236" s="5">
        <v>44564.62</v>
      </c>
      <c r="M236" s="2" t="s">
        <v>21</v>
      </c>
      <c r="N236" s="2">
        <v>4.5</v>
      </c>
      <c r="O236" s="2" t="s">
        <v>63</v>
      </c>
      <c r="P236" s="7">
        <v>55958.84</v>
      </c>
      <c r="Q236" s="8">
        <v>76.17</v>
      </c>
    </row>
    <row r="237" spans="1:17" x14ac:dyDescent="0.3">
      <c r="A237" s="9" t="s">
        <v>286</v>
      </c>
      <c r="B237" s="10">
        <v>45677</v>
      </c>
      <c r="C237" s="9" t="s">
        <v>29</v>
      </c>
      <c r="D237" s="9" t="s">
        <v>24</v>
      </c>
      <c r="E237" s="11" t="s">
        <v>51</v>
      </c>
      <c r="F237" s="9">
        <v>3</v>
      </c>
      <c r="G237" s="7">
        <v>1053</v>
      </c>
      <c r="H237" s="7">
        <v>3159</v>
      </c>
      <c r="I237" s="7">
        <v>568.62</v>
      </c>
      <c r="J237" s="7">
        <v>496</v>
      </c>
      <c r="K237" s="12">
        <v>15</v>
      </c>
      <c r="L237" s="7">
        <v>1620.53</v>
      </c>
      <c r="M237" s="9" t="s">
        <v>26</v>
      </c>
      <c r="N237" s="9">
        <v>4.9000000000000004</v>
      </c>
      <c r="O237" s="9" t="s">
        <v>79</v>
      </c>
      <c r="P237" s="7">
        <v>47977.53</v>
      </c>
      <c r="Q237" s="13">
        <v>51.3</v>
      </c>
    </row>
    <row r="238" spans="1:17" x14ac:dyDescent="0.3">
      <c r="A238" s="2" t="s">
        <v>287</v>
      </c>
      <c r="B238" s="3">
        <v>45806</v>
      </c>
      <c r="C238" s="2" t="s">
        <v>18</v>
      </c>
      <c r="D238" s="2" t="s">
        <v>19</v>
      </c>
      <c r="E238" s="4" t="s">
        <v>20</v>
      </c>
      <c r="F238" s="2">
        <v>37</v>
      </c>
      <c r="G238" s="5">
        <v>1154</v>
      </c>
      <c r="H238" s="5">
        <v>42698</v>
      </c>
      <c r="I238" s="5">
        <v>7685.6399999999994</v>
      </c>
      <c r="J238" s="5">
        <v>378</v>
      </c>
      <c r="K238" s="6">
        <v>10</v>
      </c>
      <c r="L238" s="5">
        <v>30364.560000000001</v>
      </c>
      <c r="M238" s="2" t="s">
        <v>52</v>
      </c>
      <c r="N238" s="2">
        <v>3.9</v>
      </c>
      <c r="O238" s="2" t="s">
        <v>34</v>
      </c>
      <c r="P238" s="7">
        <v>61074.62</v>
      </c>
      <c r="Q238" s="8">
        <v>71.11</v>
      </c>
    </row>
    <row r="239" spans="1:17" x14ac:dyDescent="0.3">
      <c r="A239" s="9" t="s">
        <v>288</v>
      </c>
      <c r="B239" s="10">
        <v>45936</v>
      </c>
      <c r="C239" s="9" t="s">
        <v>39</v>
      </c>
      <c r="D239" s="9" t="s">
        <v>24</v>
      </c>
      <c r="E239" s="11" t="s">
        <v>51</v>
      </c>
      <c r="F239" s="9">
        <v>33</v>
      </c>
      <c r="G239" s="7">
        <v>1089</v>
      </c>
      <c r="H239" s="7">
        <v>35937</v>
      </c>
      <c r="I239" s="7">
        <v>6468.66</v>
      </c>
      <c r="J239" s="7">
        <v>219</v>
      </c>
      <c r="K239" s="12">
        <v>10</v>
      </c>
      <c r="L239" s="7">
        <v>25655.64</v>
      </c>
      <c r="M239" s="9" t="s">
        <v>26</v>
      </c>
      <c r="N239" s="9">
        <v>4.5999999999999996</v>
      </c>
      <c r="O239" s="9" t="s">
        <v>27</v>
      </c>
      <c r="P239" s="7">
        <v>45473.599999999999</v>
      </c>
      <c r="Q239" s="13">
        <v>71.39</v>
      </c>
    </row>
    <row r="240" spans="1:17" x14ac:dyDescent="0.3">
      <c r="A240" s="2" t="s">
        <v>289</v>
      </c>
      <c r="B240" s="3">
        <v>45741</v>
      </c>
      <c r="C240" s="2" t="s">
        <v>55</v>
      </c>
      <c r="D240" s="2" t="s">
        <v>40</v>
      </c>
      <c r="E240" s="4" t="s">
        <v>51</v>
      </c>
      <c r="F240" s="2">
        <v>1</v>
      </c>
      <c r="G240" s="5">
        <v>372</v>
      </c>
      <c r="H240" s="5">
        <v>372</v>
      </c>
      <c r="I240" s="5">
        <v>66.959999999999994</v>
      </c>
      <c r="J240" s="5">
        <v>148</v>
      </c>
      <c r="K240" s="6">
        <v>10</v>
      </c>
      <c r="L240" s="5">
        <v>119.84</v>
      </c>
      <c r="M240" s="2" t="s">
        <v>21</v>
      </c>
      <c r="N240" s="2">
        <v>4.3</v>
      </c>
      <c r="O240" s="2" t="s">
        <v>66</v>
      </c>
      <c r="P240" s="7">
        <v>15265.5</v>
      </c>
      <c r="Q240" s="8">
        <v>32.22</v>
      </c>
    </row>
    <row r="241" spans="1:17" x14ac:dyDescent="0.3">
      <c r="A241" s="9" t="s">
        <v>290</v>
      </c>
      <c r="B241" s="10">
        <v>45747</v>
      </c>
      <c r="C241" s="9" t="s">
        <v>39</v>
      </c>
      <c r="D241" s="9" t="s">
        <v>24</v>
      </c>
      <c r="E241" s="11" t="s">
        <v>43</v>
      </c>
      <c r="F241" s="9">
        <v>33</v>
      </c>
      <c r="G241" s="7">
        <v>1017</v>
      </c>
      <c r="H241" s="7">
        <v>33561</v>
      </c>
      <c r="I241" s="7">
        <v>6040.98</v>
      </c>
      <c r="J241" s="7">
        <v>144</v>
      </c>
      <c r="K241" s="12">
        <v>0</v>
      </c>
      <c r="L241" s="7">
        <v>27376.02</v>
      </c>
      <c r="M241" s="9" t="s">
        <v>52</v>
      </c>
      <c r="N241" s="9">
        <v>4.3</v>
      </c>
      <c r="O241" s="9" t="s">
        <v>66</v>
      </c>
      <c r="P241" s="7">
        <v>53027.29</v>
      </c>
      <c r="Q241" s="13">
        <v>81.569999999999993</v>
      </c>
    </row>
    <row r="242" spans="1:17" x14ac:dyDescent="0.3">
      <c r="A242" s="2" t="s">
        <v>291</v>
      </c>
      <c r="B242" s="3">
        <v>45729</v>
      </c>
      <c r="C242" s="2" t="s">
        <v>55</v>
      </c>
      <c r="D242" s="2" t="s">
        <v>40</v>
      </c>
      <c r="E242" s="4" t="s">
        <v>30</v>
      </c>
      <c r="F242" s="2">
        <v>1</v>
      </c>
      <c r="G242" s="5">
        <v>333</v>
      </c>
      <c r="H242" s="5">
        <v>333</v>
      </c>
      <c r="I242" s="5">
        <v>59.94</v>
      </c>
      <c r="J242" s="5">
        <v>186</v>
      </c>
      <c r="K242" s="6">
        <v>15</v>
      </c>
      <c r="L242" s="5">
        <v>37.11</v>
      </c>
      <c r="M242" s="2" t="s">
        <v>26</v>
      </c>
      <c r="N242" s="2">
        <v>3.9</v>
      </c>
      <c r="O242" s="2" t="s">
        <v>66</v>
      </c>
      <c r="P242" s="7">
        <v>15686.69</v>
      </c>
      <c r="Q242" s="8">
        <v>11.14</v>
      </c>
    </row>
    <row r="243" spans="1:17" x14ac:dyDescent="0.3">
      <c r="A243" s="9" t="s">
        <v>292</v>
      </c>
      <c r="B243" s="10">
        <v>45826</v>
      </c>
      <c r="C243" s="9" t="s">
        <v>36</v>
      </c>
      <c r="D243" s="9" t="s">
        <v>19</v>
      </c>
      <c r="E243" s="11" t="s">
        <v>20</v>
      </c>
      <c r="F243" s="9">
        <v>42</v>
      </c>
      <c r="G243" s="7">
        <v>1284</v>
      </c>
      <c r="H243" s="7">
        <v>53928</v>
      </c>
      <c r="I243" s="7">
        <v>9707.0399999999991</v>
      </c>
      <c r="J243" s="7">
        <v>288</v>
      </c>
      <c r="K243" s="12">
        <v>5</v>
      </c>
      <c r="L243" s="7">
        <v>41236.559999999998</v>
      </c>
      <c r="M243" s="9" t="s">
        <v>26</v>
      </c>
      <c r="N243" s="9">
        <v>4.3</v>
      </c>
      <c r="O243" s="9" t="s">
        <v>63</v>
      </c>
      <c r="P243" s="7">
        <v>65673.64</v>
      </c>
      <c r="Q243" s="13">
        <v>76.47</v>
      </c>
    </row>
    <row r="244" spans="1:17" x14ac:dyDescent="0.3">
      <c r="A244" s="2" t="s">
        <v>293</v>
      </c>
      <c r="B244" s="3">
        <v>45815</v>
      </c>
      <c r="C244" s="2" t="s">
        <v>29</v>
      </c>
      <c r="D244" s="2" t="s">
        <v>24</v>
      </c>
      <c r="E244" s="4" t="s">
        <v>75</v>
      </c>
      <c r="F244" s="2">
        <v>46</v>
      </c>
      <c r="G244" s="5">
        <v>1009</v>
      </c>
      <c r="H244" s="5">
        <v>46414</v>
      </c>
      <c r="I244" s="5">
        <v>8354.52</v>
      </c>
      <c r="J244" s="5">
        <v>201</v>
      </c>
      <c r="K244" s="6">
        <v>0</v>
      </c>
      <c r="L244" s="5">
        <v>37858.480000000003</v>
      </c>
      <c r="M244" s="2" t="s">
        <v>21</v>
      </c>
      <c r="N244" s="2">
        <v>4.8</v>
      </c>
      <c r="O244" s="2" t="s">
        <v>63</v>
      </c>
      <c r="P244" s="7">
        <v>43721.95</v>
      </c>
      <c r="Q244" s="8">
        <v>81.569999999999993</v>
      </c>
    </row>
    <row r="245" spans="1:17" x14ac:dyDescent="0.3">
      <c r="A245" s="9" t="s">
        <v>294</v>
      </c>
      <c r="B245" s="10">
        <v>45846</v>
      </c>
      <c r="C245" s="9" t="s">
        <v>39</v>
      </c>
      <c r="D245" s="9" t="s">
        <v>32</v>
      </c>
      <c r="E245" s="11" t="s">
        <v>30</v>
      </c>
      <c r="F245" s="9">
        <v>9</v>
      </c>
      <c r="G245" s="7">
        <v>944</v>
      </c>
      <c r="H245" s="7">
        <v>8496</v>
      </c>
      <c r="I245" s="7">
        <v>1529.28</v>
      </c>
      <c r="J245" s="7">
        <v>360</v>
      </c>
      <c r="K245" s="12">
        <v>5</v>
      </c>
      <c r="L245" s="7">
        <v>6181.92</v>
      </c>
      <c r="M245" s="9" t="s">
        <v>52</v>
      </c>
      <c r="N245" s="9">
        <v>4.5</v>
      </c>
      <c r="O245" s="9" t="s">
        <v>48</v>
      </c>
      <c r="P245" s="7">
        <v>42134.49</v>
      </c>
      <c r="Q245" s="13">
        <v>72.760000000000005</v>
      </c>
    </row>
    <row r="246" spans="1:17" x14ac:dyDescent="0.3">
      <c r="A246" s="2" t="s">
        <v>295</v>
      </c>
      <c r="B246" s="3">
        <v>45849</v>
      </c>
      <c r="C246" s="2" t="s">
        <v>55</v>
      </c>
      <c r="D246" s="2" t="s">
        <v>24</v>
      </c>
      <c r="E246" s="4" t="s">
        <v>75</v>
      </c>
      <c r="F246" s="2">
        <v>43</v>
      </c>
      <c r="G246" s="5">
        <v>961</v>
      </c>
      <c r="H246" s="5">
        <v>41323</v>
      </c>
      <c r="I246" s="5">
        <v>7438.1399999999994</v>
      </c>
      <c r="J246" s="5">
        <v>497</v>
      </c>
      <c r="K246" s="6">
        <v>5</v>
      </c>
      <c r="L246" s="5">
        <v>31321.71</v>
      </c>
      <c r="M246" s="2" t="s">
        <v>21</v>
      </c>
      <c r="N246" s="2">
        <v>4.5</v>
      </c>
      <c r="O246" s="2" t="s">
        <v>48</v>
      </c>
      <c r="P246" s="7">
        <v>53371.22</v>
      </c>
      <c r="Q246" s="8">
        <v>75.8</v>
      </c>
    </row>
    <row r="247" spans="1:17" x14ac:dyDescent="0.3">
      <c r="A247" s="9" t="s">
        <v>296</v>
      </c>
      <c r="B247" s="10">
        <v>45699</v>
      </c>
      <c r="C247" s="9" t="s">
        <v>39</v>
      </c>
      <c r="D247" s="9" t="s">
        <v>24</v>
      </c>
      <c r="E247" s="11" t="s">
        <v>75</v>
      </c>
      <c r="F247" s="9">
        <v>46</v>
      </c>
      <c r="G247" s="7">
        <v>1035</v>
      </c>
      <c r="H247" s="7">
        <v>47610</v>
      </c>
      <c r="I247" s="7">
        <v>8569.7999999999993</v>
      </c>
      <c r="J247" s="7">
        <v>474</v>
      </c>
      <c r="K247" s="12">
        <v>0</v>
      </c>
      <c r="L247" s="7">
        <v>38566.199999999997</v>
      </c>
      <c r="M247" s="9" t="s">
        <v>21</v>
      </c>
      <c r="N247" s="9">
        <v>3.2</v>
      </c>
      <c r="O247" s="9" t="s">
        <v>44</v>
      </c>
      <c r="P247" s="7">
        <v>54876.09</v>
      </c>
      <c r="Q247" s="13">
        <v>81</v>
      </c>
    </row>
    <row r="248" spans="1:17" x14ac:dyDescent="0.3">
      <c r="A248" s="2" t="s">
        <v>297</v>
      </c>
      <c r="B248" s="3">
        <v>45938</v>
      </c>
      <c r="C248" s="2" t="s">
        <v>39</v>
      </c>
      <c r="D248" s="2" t="s">
        <v>32</v>
      </c>
      <c r="E248" s="4" t="s">
        <v>41</v>
      </c>
      <c r="F248" s="2">
        <v>35</v>
      </c>
      <c r="G248" s="5">
        <v>776</v>
      </c>
      <c r="H248" s="5">
        <v>27160</v>
      </c>
      <c r="I248" s="5">
        <v>4888.8</v>
      </c>
      <c r="J248" s="5">
        <v>276</v>
      </c>
      <c r="K248" s="6">
        <v>5</v>
      </c>
      <c r="L248" s="5">
        <v>20637.2</v>
      </c>
      <c r="M248" s="2" t="s">
        <v>52</v>
      </c>
      <c r="N248" s="2">
        <v>4.7</v>
      </c>
      <c r="O248" s="2" t="s">
        <v>27</v>
      </c>
      <c r="P248" s="7">
        <v>35802.370000000003</v>
      </c>
      <c r="Q248" s="8">
        <v>75.98</v>
      </c>
    </row>
    <row r="249" spans="1:17" x14ac:dyDescent="0.3">
      <c r="A249" s="9" t="s">
        <v>298</v>
      </c>
      <c r="B249" s="10">
        <v>45717</v>
      </c>
      <c r="C249" s="9" t="s">
        <v>29</v>
      </c>
      <c r="D249" s="9" t="s">
        <v>24</v>
      </c>
      <c r="E249" s="11" t="s">
        <v>58</v>
      </c>
      <c r="F249" s="9">
        <v>33</v>
      </c>
      <c r="G249" s="7">
        <v>1078</v>
      </c>
      <c r="H249" s="7">
        <v>35574</v>
      </c>
      <c r="I249" s="7">
        <v>6403.32</v>
      </c>
      <c r="J249" s="7">
        <v>262</v>
      </c>
      <c r="K249" s="12">
        <v>0</v>
      </c>
      <c r="L249" s="7">
        <v>28908.68</v>
      </c>
      <c r="M249" s="9" t="s">
        <v>52</v>
      </c>
      <c r="N249" s="9">
        <v>3.3</v>
      </c>
      <c r="O249" s="9" t="s">
        <v>66</v>
      </c>
      <c r="P249" s="7">
        <v>43797.63</v>
      </c>
      <c r="Q249" s="13">
        <v>81.260000000000005</v>
      </c>
    </row>
    <row r="250" spans="1:17" x14ac:dyDescent="0.3">
      <c r="A250" s="2" t="s">
        <v>299</v>
      </c>
      <c r="B250" s="3">
        <v>45891</v>
      </c>
      <c r="C250" s="2" t="s">
        <v>39</v>
      </c>
      <c r="D250" s="2" t="s">
        <v>19</v>
      </c>
      <c r="E250" s="4" t="s">
        <v>75</v>
      </c>
      <c r="F250" s="2">
        <v>30</v>
      </c>
      <c r="G250" s="5">
        <v>1257</v>
      </c>
      <c r="H250" s="5">
        <v>37710</v>
      </c>
      <c r="I250" s="5">
        <v>6787.8</v>
      </c>
      <c r="J250" s="5">
        <v>51</v>
      </c>
      <c r="K250" s="6">
        <v>0</v>
      </c>
      <c r="L250" s="5">
        <v>30871.200000000001</v>
      </c>
      <c r="M250" s="2" t="s">
        <v>52</v>
      </c>
      <c r="N250" s="2">
        <v>3.5</v>
      </c>
      <c r="O250" s="2" t="s">
        <v>53</v>
      </c>
      <c r="P250" s="7">
        <v>64665.31</v>
      </c>
      <c r="Q250" s="8">
        <v>81.86</v>
      </c>
    </row>
    <row r="251" spans="1:17" x14ac:dyDescent="0.3">
      <c r="A251" s="9" t="s">
        <v>300</v>
      </c>
      <c r="B251" s="10">
        <v>45769</v>
      </c>
      <c r="C251" s="9" t="s">
        <v>39</v>
      </c>
      <c r="D251" s="9" t="s">
        <v>19</v>
      </c>
      <c r="E251" s="11" t="s">
        <v>25</v>
      </c>
      <c r="F251" s="9">
        <v>28</v>
      </c>
      <c r="G251" s="7">
        <v>1276</v>
      </c>
      <c r="H251" s="7">
        <v>35728</v>
      </c>
      <c r="I251" s="7">
        <v>6431.04</v>
      </c>
      <c r="J251" s="7">
        <v>85</v>
      </c>
      <c r="K251" s="12">
        <v>0</v>
      </c>
      <c r="L251" s="7">
        <v>29211.96</v>
      </c>
      <c r="M251" s="9" t="s">
        <v>21</v>
      </c>
      <c r="N251" s="9">
        <v>5</v>
      </c>
      <c r="O251" s="9" t="s">
        <v>69</v>
      </c>
      <c r="P251" s="7">
        <v>62639.02</v>
      </c>
      <c r="Q251" s="13">
        <v>81.760000000000005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Sheet3</vt:lpstr>
      <vt:lpstr>g1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Punekar</dc:creator>
  <cp:lastModifiedBy>Rushikesh Punekar</cp:lastModifiedBy>
  <dcterms:created xsi:type="dcterms:W3CDTF">2026-02-24T15:01:28Z</dcterms:created>
  <dcterms:modified xsi:type="dcterms:W3CDTF">2026-02-25T15:25:10Z</dcterms:modified>
</cp:coreProperties>
</file>